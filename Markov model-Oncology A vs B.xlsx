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VBA\"/>
    </mc:Choice>
  </mc:AlternateContent>
  <xr:revisionPtr revIDLastSave="0" documentId="8_{75BCBF0A-DF3E-4572-8703-01AA8B2339FB}" xr6:coauthVersionLast="47" xr6:coauthVersionMax="47" xr10:uidLastSave="{00000000-0000-0000-0000-000000000000}"/>
  <bookViews>
    <workbookView xWindow="-110" yWindow="-110" windowWidth="19420" windowHeight="10420" xr2:uid="{33B02202-BD8F-4F93-83A2-016F7F633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42" i="1"/>
  <c r="C47" i="1"/>
  <c r="D44" i="1"/>
  <c r="C4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" i="1"/>
  <c r="T4" i="1"/>
  <c r="AQ4" i="1"/>
  <c r="AP4" i="1"/>
  <c r="AR4" i="1" s="1"/>
  <c r="Z4" i="1"/>
  <c r="X4" i="1"/>
  <c r="Y4" i="1"/>
  <c r="AI4" i="1"/>
  <c r="AH4" i="1"/>
  <c r="AF4" i="1"/>
  <c r="AC5" i="1" a="1"/>
  <c r="P4" i="1"/>
  <c r="O4" i="1"/>
  <c r="N4" i="1"/>
  <c r="L4" i="1"/>
  <c r="I5" i="1" a="1"/>
  <c r="I5" i="1" s="1"/>
  <c r="D14" i="1"/>
  <c r="D13" i="1"/>
  <c r="D12" i="1"/>
  <c r="C14" i="1"/>
  <c r="C13" i="1"/>
  <c r="C12" i="1"/>
  <c r="L5" i="1" l="1"/>
  <c r="X5" i="1"/>
  <c r="Y5" i="1"/>
  <c r="AC5" i="1"/>
  <c r="AQ5" i="1"/>
  <c r="AJ4" i="1"/>
  <c r="AN4" i="1" s="1"/>
  <c r="T5" i="1"/>
  <c r="I6" i="1" a="1"/>
  <c r="Y6" i="1" s="1"/>
  <c r="N5" i="1"/>
  <c r="P5" i="1"/>
  <c r="O5" i="1"/>
  <c r="AC6" i="1" a="1"/>
  <c r="AQ6" i="1" s="1"/>
  <c r="R4" i="1"/>
  <c r="V4" i="1" s="1"/>
  <c r="AF5" i="1"/>
  <c r="AI5" i="1"/>
  <c r="P6" i="1"/>
  <c r="Z5" i="1" l="1"/>
  <c r="AH5" i="1"/>
  <c r="AJ5" i="1" s="1"/>
  <c r="AN5" i="1" s="1"/>
  <c r="AP5" i="1"/>
  <c r="AR5" i="1" s="1"/>
  <c r="I6" i="1"/>
  <c r="X6" i="1" s="1"/>
  <c r="Z6" i="1" s="1"/>
  <c r="T6" i="1"/>
  <c r="O6" i="1"/>
  <c r="R5" i="1"/>
  <c r="V5" i="1" s="1"/>
  <c r="AC6" i="1"/>
  <c r="AI6" i="1"/>
  <c r="AP6" i="1" l="1"/>
  <c r="AR6" i="1" s="1"/>
  <c r="I7" i="1" a="1"/>
  <c r="Y7" i="1" s="1"/>
  <c r="L6" i="1"/>
  <c r="N6" i="1"/>
  <c r="R6" i="1" s="1"/>
  <c r="V6" i="1" s="1"/>
  <c r="AH6" i="1"/>
  <c r="AJ6" i="1" s="1"/>
  <c r="AN6" i="1" s="1"/>
  <c r="AF6" i="1"/>
  <c r="AC7" i="1" a="1"/>
  <c r="AQ7" i="1" s="1"/>
  <c r="I7" i="1" l="1"/>
  <c r="X7" i="1" s="1"/>
  <c r="Z7" i="1" s="1"/>
  <c r="T7" i="1"/>
  <c r="P7" i="1"/>
  <c r="O7" i="1"/>
  <c r="AC7" i="1"/>
  <c r="AI7" i="1"/>
  <c r="AP7" i="1" l="1"/>
  <c r="AR7" i="1" s="1"/>
  <c r="I8" i="1" a="1"/>
  <c r="Y8" i="1" s="1"/>
  <c r="L7" i="1"/>
  <c r="N7" i="1"/>
  <c r="R7" i="1" s="1"/>
  <c r="V7" i="1" s="1"/>
  <c r="AC8" i="1" a="1"/>
  <c r="AQ8" i="1" s="1"/>
  <c r="AH7" i="1"/>
  <c r="AJ7" i="1" s="1"/>
  <c r="AN7" i="1" s="1"/>
  <c r="AF7" i="1"/>
  <c r="P8" i="1" l="1"/>
  <c r="T8" i="1"/>
  <c r="I8" i="1"/>
  <c r="X8" i="1" s="1"/>
  <c r="Z8" i="1" s="1"/>
  <c r="O8" i="1"/>
  <c r="AC8" i="1"/>
  <c r="AI8" i="1"/>
  <c r="AP8" i="1" l="1"/>
  <c r="AR8" i="1" s="1"/>
  <c r="L8" i="1"/>
  <c r="I9" i="1" a="1"/>
  <c r="Y9" i="1" s="1"/>
  <c r="N8" i="1"/>
  <c r="R8" i="1" s="1"/>
  <c r="V8" i="1" s="1"/>
  <c r="AC9" i="1" a="1"/>
  <c r="AQ9" i="1" s="1"/>
  <c r="AH8" i="1"/>
  <c r="AJ8" i="1" s="1"/>
  <c r="AN8" i="1" s="1"/>
  <c r="AF8" i="1"/>
  <c r="T9" i="1" l="1"/>
  <c r="O9" i="1"/>
  <c r="I9" i="1"/>
  <c r="X9" i="1" s="1"/>
  <c r="Z9" i="1" s="1"/>
  <c r="P9" i="1"/>
  <c r="AC9" i="1"/>
  <c r="AI9" i="1"/>
  <c r="AP9" i="1" l="1"/>
  <c r="AR9" i="1" s="1"/>
  <c r="I10" i="1" a="1"/>
  <c r="Y10" i="1" s="1"/>
  <c r="N9" i="1"/>
  <c r="R9" i="1" s="1"/>
  <c r="V9" i="1" s="1"/>
  <c r="L9" i="1"/>
  <c r="AC10" i="1" a="1"/>
  <c r="AQ10" i="1" s="1"/>
  <c r="AH9" i="1"/>
  <c r="AJ9" i="1" s="1"/>
  <c r="AN9" i="1" s="1"/>
  <c r="AF9" i="1"/>
  <c r="T10" i="1" l="1"/>
  <c r="O10" i="1"/>
  <c r="P10" i="1"/>
  <c r="I10" i="1"/>
  <c r="X10" i="1" s="1"/>
  <c r="Z10" i="1" s="1"/>
  <c r="AC10" i="1"/>
  <c r="AI10" i="1"/>
  <c r="AP10" i="1" l="1"/>
  <c r="AR10" i="1" s="1"/>
  <c r="L10" i="1"/>
  <c r="I11" i="1" a="1"/>
  <c r="Y11" i="1" s="1"/>
  <c r="N10" i="1"/>
  <c r="R10" i="1" s="1"/>
  <c r="V10" i="1" s="1"/>
  <c r="AC11" i="1" a="1"/>
  <c r="AQ11" i="1" s="1"/>
  <c r="AH10" i="1"/>
  <c r="AJ10" i="1" s="1"/>
  <c r="AN10" i="1" s="1"/>
  <c r="AF10" i="1"/>
  <c r="T11" i="1" l="1"/>
  <c r="O11" i="1"/>
  <c r="I11" i="1"/>
  <c r="X11" i="1" s="1"/>
  <c r="Z11" i="1" s="1"/>
  <c r="P11" i="1"/>
  <c r="AC11" i="1"/>
  <c r="AI11" i="1"/>
  <c r="AP11" i="1" l="1"/>
  <c r="AR11" i="1" s="1"/>
  <c r="L11" i="1"/>
  <c r="I12" i="1" a="1"/>
  <c r="Y12" i="1" s="1"/>
  <c r="N11" i="1"/>
  <c r="R11" i="1" s="1"/>
  <c r="V11" i="1" s="1"/>
  <c r="AC12" i="1" a="1"/>
  <c r="AQ12" i="1" s="1"/>
  <c r="AH11" i="1"/>
  <c r="AJ11" i="1" s="1"/>
  <c r="AN11" i="1" s="1"/>
  <c r="AF11" i="1"/>
  <c r="T12" i="1" l="1"/>
  <c r="O12" i="1"/>
  <c r="P12" i="1"/>
  <c r="I12" i="1"/>
  <c r="X12" i="1" s="1"/>
  <c r="Z12" i="1" s="1"/>
  <c r="AC12" i="1"/>
  <c r="AI12" i="1"/>
  <c r="AP12" i="1" l="1"/>
  <c r="AR12" i="1" s="1"/>
  <c r="L12" i="1"/>
  <c r="I13" i="1" a="1"/>
  <c r="Y13" i="1" s="1"/>
  <c r="N12" i="1"/>
  <c r="R12" i="1" s="1"/>
  <c r="V12" i="1" s="1"/>
  <c r="AC13" i="1" a="1"/>
  <c r="AQ13" i="1" s="1"/>
  <c r="AF12" i="1"/>
  <c r="AH12" i="1"/>
  <c r="AJ12" i="1" s="1"/>
  <c r="AN12" i="1" s="1"/>
  <c r="T13" i="1" l="1"/>
  <c r="O13" i="1"/>
  <c r="I13" i="1"/>
  <c r="X13" i="1" s="1"/>
  <c r="Z13" i="1" s="1"/>
  <c r="P13" i="1"/>
  <c r="AC13" i="1"/>
  <c r="AI13" i="1"/>
  <c r="AP13" i="1" l="1"/>
  <c r="AR13" i="1" s="1"/>
  <c r="L13" i="1"/>
  <c r="I14" i="1" a="1"/>
  <c r="Y14" i="1" s="1"/>
  <c r="N13" i="1"/>
  <c r="R13" i="1" s="1"/>
  <c r="V13" i="1" s="1"/>
  <c r="AC14" i="1" a="1"/>
  <c r="AQ14" i="1" s="1"/>
  <c r="AH13" i="1"/>
  <c r="AJ13" i="1" s="1"/>
  <c r="AN13" i="1" s="1"/>
  <c r="AF13" i="1"/>
  <c r="T14" i="1" l="1"/>
  <c r="O14" i="1"/>
  <c r="I14" i="1"/>
  <c r="X14" i="1" s="1"/>
  <c r="Z14" i="1" s="1"/>
  <c r="P14" i="1"/>
  <c r="AC14" i="1"/>
  <c r="AI14" i="1"/>
  <c r="AP14" i="1" l="1"/>
  <c r="AR14" i="1" s="1"/>
  <c r="L14" i="1"/>
  <c r="I15" i="1" a="1"/>
  <c r="Y15" i="1" s="1"/>
  <c r="N14" i="1"/>
  <c r="R14" i="1" s="1"/>
  <c r="V14" i="1" s="1"/>
  <c r="AC15" i="1" a="1"/>
  <c r="AQ15" i="1" s="1"/>
  <c r="AH14" i="1"/>
  <c r="AJ14" i="1" s="1"/>
  <c r="AN14" i="1" s="1"/>
  <c r="AF14" i="1"/>
  <c r="T15" i="1" l="1"/>
  <c r="O15" i="1"/>
  <c r="I15" i="1"/>
  <c r="X15" i="1" s="1"/>
  <c r="Z15" i="1" s="1"/>
  <c r="P15" i="1"/>
  <c r="AC15" i="1"/>
  <c r="AI15" i="1"/>
  <c r="AP15" i="1" l="1"/>
  <c r="AR15" i="1" s="1"/>
  <c r="L15" i="1"/>
  <c r="N15" i="1"/>
  <c r="R15" i="1" s="1"/>
  <c r="V15" i="1" s="1"/>
  <c r="I16" i="1" a="1"/>
  <c r="Y16" i="1" s="1"/>
  <c r="AC16" i="1" a="1"/>
  <c r="AQ16" i="1" s="1"/>
  <c r="AH15" i="1"/>
  <c r="AJ15" i="1" s="1"/>
  <c r="AN15" i="1" s="1"/>
  <c r="AF15" i="1"/>
  <c r="T16" i="1" l="1"/>
  <c r="O16" i="1"/>
  <c r="I16" i="1"/>
  <c r="X16" i="1" s="1"/>
  <c r="Z16" i="1" s="1"/>
  <c r="P16" i="1"/>
  <c r="AC16" i="1"/>
  <c r="AI16" i="1"/>
  <c r="AP16" i="1" l="1"/>
  <c r="AR16" i="1" s="1"/>
  <c r="L16" i="1"/>
  <c r="I17" i="1" a="1"/>
  <c r="Y17" i="1" s="1"/>
  <c r="N16" i="1"/>
  <c r="R16" i="1" s="1"/>
  <c r="V16" i="1" s="1"/>
  <c r="AC17" i="1" a="1"/>
  <c r="AQ17" i="1" s="1"/>
  <c r="AF16" i="1"/>
  <c r="AH16" i="1"/>
  <c r="AJ16" i="1" s="1"/>
  <c r="AN16" i="1" s="1"/>
  <c r="T17" i="1" l="1"/>
  <c r="O17" i="1"/>
  <c r="I17" i="1"/>
  <c r="X17" i="1" s="1"/>
  <c r="Z17" i="1" s="1"/>
  <c r="P17" i="1"/>
  <c r="AC17" i="1"/>
  <c r="AI17" i="1"/>
  <c r="AP17" i="1" l="1"/>
  <c r="AR17" i="1" s="1"/>
  <c r="L17" i="1"/>
  <c r="I18" i="1" a="1"/>
  <c r="Y18" i="1" s="1"/>
  <c r="N17" i="1"/>
  <c r="R17" i="1" s="1"/>
  <c r="V17" i="1" s="1"/>
  <c r="AC18" i="1" a="1"/>
  <c r="AQ18" i="1" s="1"/>
  <c r="AH17" i="1"/>
  <c r="AJ17" i="1" s="1"/>
  <c r="AN17" i="1" s="1"/>
  <c r="AF17" i="1"/>
  <c r="T18" i="1" l="1"/>
  <c r="P18" i="1"/>
  <c r="I18" i="1"/>
  <c r="X18" i="1" s="1"/>
  <c r="Z18" i="1" s="1"/>
  <c r="O18" i="1"/>
  <c r="AC18" i="1"/>
  <c r="AI18" i="1"/>
  <c r="AP18" i="1" l="1"/>
  <c r="AR18" i="1" s="1"/>
  <c r="N18" i="1"/>
  <c r="R18" i="1" s="1"/>
  <c r="V18" i="1" s="1"/>
  <c r="I19" i="1" a="1"/>
  <c r="Y19" i="1" s="1"/>
  <c r="L18" i="1"/>
  <c r="AC19" i="1" a="1"/>
  <c r="AQ19" i="1" s="1"/>
  <c r="AH18" i="1"/>
  <c r="AJ18" i="1" s="1"/>
  <c r="AN18" i="1" s="1"/>
  <c r="AF18" i="1"/>
  <c r="T19" i="1" l="1"/>
  <c r="O19" i="1"/>
  <c r="I19" i="1"/>
  <c r="X19" i="1" s="1"/>
  <c r="Z19" i="1" s="1"/>
  <c r="P19" i="1"/>
  <c r="AC19" i="1"/>
  <c r="AI19" i="1"/>
  <c r="AP19" i="1" l="1"/>
  <c r="AR19" i="1" s="1"/>
  <c r="L19" i="1"/>
  <c r="I20" i="1" a="1"/>
  <c r="Y20" i="1" s="1"/>
  <c r="N19" i="1"/>
  <c r="R19" i="1" s="1"/>
  <c r="V19" i="1" s="1"/>
  <c r="AC20" i="1" a="1"/>
  <c r="AQ20" i="1" s="1"/>
  <c r="AH19" i="1"/>
  <c r="AJ19" i="1" s="1"/>
  <c r="AN19" i="1" s="1"/>
  <c r="AF19" i="1"/>
  <c r="T20" i="1" l="1"/>
  <c r="O20" i="1"/>
  <c r="I20" i="1"/>
  <c r="X20" i="1" s="1"/>
  <c r="Z20" i="1" s="1"/>
  <c r="P20" i="1"/>
  <c r="AC20" i="1"/>
  <c r="AI20" i="1"/>
  <c r="AP20" i="1" l="1"/>
  <c r="AR20" i="1" s="1"/>
  <c r="L20" i="1"/>
  <c r="I21" i="1" a="1"/>
  <c r="Y21" i="1" s="1"/>
  <c r="N20" i="1"/>
  <c r="R20" i="1" s="1"/>
  <c r="V20" i="1" s="1"/>
  <c r="AC21" i="1" a="1"/>
  <c r="AQ21" i="1" s="1"/>
  <c r="AH20" i="1"/>
  <c r="AJ20" i="1" s="1"/>
  <c r="AN20" i="1" s="1"/>
  <c r="AF20" i="1"/>
  <c r="T21" i="1" l="1"/>
  <c r="O21" i="1"/>
  <c r="I21" i="1"/>
  <c r="X21" i="1" s="1"/>
  <c r="Z21" i="1" s="1"/>
  <c r="P21" i="1"/>
  <c r="AC21" i="1"/>
  <c r="AI21" i="1"/>
  <c r="AP21" i="1" l="1"/>
  <c r="AR21" i="1" s="1"/>
  <c r="L21" i="1"/>
  <c r="I22" i="1" a="1"/>
  <c r="Y22" i="1" s="1"/>
  <c r="N21" i="1"/>
  <c r="R21" i="1" s="1"/>
  <c r="V21" i="1" s="1"/>
  <c r="AC22" i="1" a="1"/>
  <c r="AQ22" i="1" s="1"/>
  <c r="AH21" i="1"/>
  <c r="AJ21" i="1" s="1"/>
  <c r="AN21" i="1" s="1"/>
  <c r="AF21" i="1"/>
  <c r="T22" i="1" l="1"/>
  <c r="O22" i="1"/>
  <c r="I22" i="1"/>
  <c r="X22" i="1" s="1"/>
  <c r="Z22" i="1" s="1"/>
  <c r="P22" i="1"/>
  <c r="AC22" i="1"/>
  <c r="AI22" i="1"/>
  <c r="AP22" i="1" l="1"/>
  <c r="AR22" i="1" s="1"/>
  <c r="L22" i="1"/>
  <c r="I23" i="1" a="1"/>
  <c r="Y23" i="1" s="1"/>
  <c r="N22" i="1"/>
  <c r="R22" i="1" s="1"/>
  <c r="V22" i="1" s="1"/>
  <c r="AC23" i="1" a="1"/>
  <c r="AQ23" i="1" s="1"/>
  <c r="AH22" i="1"/>
  <c r="AJ22" i="1" s="1"/>
  <c r="AN22" i="1" s="1"/>
  <c r="AF22" i="1"/>
  <c r="T23" i="1" l="1"/>
  <c r="O23" i="1"/>
  <c r="I23" i="1"/>
  <c r="X23" i="1" s="1"/>
  <c r="Z23" i="1" s="1"/>
  <c r="P23" i="1"/>
  <c r="AC23" i="1"/>
  <c r="AI23" i="1"/>
  <c r="AP23" i="1" l="1"/>
  <c r="AR23" i="1" s="1"/>
  <c r="L23" i="1"/>
  <c r="I24" i="1" a="1"/>
  <c r="Y24" i="1" s="1"/>
  <c r="N23" i="1"/>
  <c r="R23" i="1" s="1"/>
  <c r="V23" i="1" s="1"/>
  <c r="AC24" i="1" a="1"/>
  <c r="AQ24" i="1" s="1"/>
  <c r="AH23" i="1"/>
  <c r="AJ23" i="1" s="1"/>
  <c r="AN23" i="1" s="1"/>
  <c r="AF23" i="1"/>
  <c r="T24" i="1" l="1"/>
  <c r="O24" i="1"/>
  <c r="I24" i="1"/>
  <c r="X24" i="1" s="1"/>
  <c r="Z24" i="1" s="1"/>
  <c r="P24" i="1"/>
  <c r="AC24" i="1"/>
  <c r="AI24" i="1"/>
  <c r="AP24" i="1" l="1"/>
  <c r="AR24" i="1" s="1"/>
  <c r="L24" i="1"/>
  <c r="I25" i="1" a="1"/>
  <c r="Y25" i="1" s="1"/>
  <c r="N24" i="1"/>
  <c r="R24" i="1" s="1"/>
  <c r="V24" i="1" s="1"/>
  <c r="AC25" i="1" a="1"/>
  <c r="AQ25" i="1" s="1"/>
  <c r="AH24" i="1"/>
  <c r="AJ24" i="1" s="1"/>
  <c r="AN24" i="1" s="1"/>
  <c r="AF24" i="1"/>
  <c r="T25" i="1" l="1"/>
  <c r="O25" i="1"/>
  <c r="I25" i="1"/>
  <c r="X25" i="1" s="1"/>
  <c r="Z25" i="1" s="1"/>
  <c r="P25" i="1"/>
  <c r="AC25" i="1"/>
  <c r="AI25" i="1"/>
  <c r="AP25" i="1" l="1"/>
  <c r="AR25" i="1" s="1"/>
  <c r="L25" i="1"/>
  <c r="I26" i="1" a="1"/>
  <c r="Y26" i="1" s="1"/>
  <c r="N25" i="1"/>
  <c r="R25" i="1" s="1"/>
  <c r="V25" i="1" s="1"/>
  <c r="AC26" i="1" a="1"/>
  <c r="AQ26" i="1" s="1"/>
  <c r="AH25" i="1"/>
  <c r="AJ25" i="1" s="1"/>
  <c r="AN25" i="1" s="1"/>
  <c r="AF25" i="1"/>
  <c r="T26" i="1" l="1"/>
  <c r="O26" i="1"/>
  <c r="I26" i="1"/>
  <c r="X26" i="1" s="1"/>
  <c r="Z26" i="1" s="1"/>
  <c r="P26" i="1"/>
  <c r="AC26" i="1"/>
  <c r="AI26" i="1"/>
  <c r="AP26" i="1" l="1"/>
  <c r="AR26" i="1" s="1"/>
  <c r="L26" i="1"/>
  <c r="I27" i="1" a="1"/>
  <c r="Y27" i="1" s="1"/>
  <c r="N26" i="1"/>
  <c r="R26" i="1" s="1"/>
  <c r="V26" i="1" s="1"/>
  <c r="AC27" i="1" a="1"/>
  <c r="AQ27" i="1" s="1"/>
  <c r="AH26" i="1"/>
  <c r="AJ26" i="1" s="1"/>
  <c r="AN26" i="1" s="1"/>
  <c r="AF26" i="1"/>
  <c r="T27" i="1" l="1"/>
  <c r="O27" i="1"/>
  <c r="I27" i="1"/>
  <c r="X27" i="1" s="1"/>
  <c r="Z27" i="1" s="1"/>
  <c r="P27" i="1"/>
  <c r="AC27" i="1"/>
  <c r="AI27" i="1"/>
  <c r="AP27" i="1" l="1"/>
  <c r="AR27" i="1" s="1"/>
  <c r="L27" i="1"/>
  <c r="I28" i="1" a="1"/>
  <c r="Y28" i="1" s="1"/>
  <c r="N27" i="1"/>
  <c r="R27" i="1" s="1"/>
  <c r="V27" i="1" s="1"/>
  <c r="AC28" i="1" a="1"/>
  <c r="AQ28" i="1" s="1"/>
  <c r="AH27" i="1"/>
  <c r="AJ27" i="1" s="1"/>
  <c r="AN27" i="1" s="1"/>
  <c r="AF27" i="1"/>
  <c r="T28" i="1" l="1"/>
  <c r="O28" i="1"/>
  <c r="I28" i="1"/>
  <c r="X28" i="1" s="1"/>
  <c r="Z28" i="1" s="1"/>
  <c r="P28" i="1"/>
  <c r="AC28" i="1"/>
  <c r="AI28" i="1"/>
  <c r="AP28" i="1" l="1"/>
  <c r="AR28" i="1" s="1"/>
  <c r="L28" i="1"/>
  <c r="N28" i="1"/>
  <c r="R28" i="1" s="1"/>
  <c r="V28" i="1" s="1"/>
  <c r="I29" i="1" a="1"/>
  <c r="Y29" i="1" s="1"/>
  <c r="AC29" i="1" a="1"/>
  <c r="AQ29" i="1" s="1"/>
  <c r="AF28" i="1"/>
  <c r="AH28" i="1"/>
  <c r="AJ28" i="1" s="1"/>
  <c r="AN28" i="1" s="1"/>
  <c r="T29" i="1" l="1"/>
  <c r="O29" i="1"/>
  <c r="P29" i="1"/>
  <c r="I29" i="1"/>
  <c r="X29" i="1" s="1"/>
  <c r="Z29" i="1" s="1"/>
  <c r="AC29" i="1"/>
  <c r="AI29" i="1"/>
  <c r="AP29" i="1" l="1"/>
  <c r="AR29" i="1" s="1"/>
  <c r="L29" i="1"/>
  <c r="I30" i="1" a="1"/>
  <c r="Y30" i="1" s="1"/>
  <c r="N29" i="1"/>
  <c r="R29" i="1" s="1"/>
  <c r="V29" i="1" s="1"/>
  <c r="AC30" i="1" a="1"/>
  <c r="AQ30" i="1" s="1"/>
  <c r="AH29" i="1"/>
  <c r="AJ29" i="1" s="1"/>
  <c r="AN29" i="1" s="1"/>
  <c r="AF29" i="1"/>
  <c r="T30" i="1" l="1"/>
  <c r="O30" i="1"/>
  <c r="P30" i="1"/>
  <c r="I30" i="1"/>
  <c r="X30" i="1" s="1"/>
  <c r="Z30" i="1" s="1"/>
  <c r="AC30" i="1"/>
  <c r="AI30" i="1"/>
  <c r="AP30" i="1" l="1"/>
  <c r="AR30" i="1" s="1"/>
  <c r="L30" i="1"/>
  <c r="N30" i="1"/>
  <c r="R30" i="1" s="1"/>
  <c r="V30" i="1" s="1"/>
  <c r="I31" i="1" a="1"/>
  <c r="Y31" i="1" s="1"/>
  <c r="AC31" i="1" a="1"/>
  <c r="AQ31" i="1" s="1"/>
  <c r="AH30" i="1"/>
  <c r="AJ30" i="1" s="1"/>
  <c r="AN30" i="1" s="1"/>
  <c r="AF30" i="1"/>
  <c r="T31" i="1" l="1"/>
  <c r="O31" i="1"/>
  <c r="P31" i="1"/>
  <c r="I31" i="1"/>
  <c r="X31" i="1" s="1"/>
  <c r="Z31" i="1" s="1"/>
  <c r="AC31" i="1"/>
  <c r="AI31" i="1"/>
  <c r="AP31" i="1" l="1"/>
  <c r="AR31" i="1" s="1"/>
  <c r="L31" i="1"/>
  <c r="N31" i="1"/>
  <c r="R31" i="1" s="1"/>
  <c r="V31" i="1" s="1"/>
  <c r="I32" i="1" a="1"/>
  <c r="Y32" i="1" s="1"/>
  <c r="AC32" i="1" a="1"/>
  <c r="AQ32" i="1" s="1"/>
  <c r="AH31" i="1"/>
  <c r="AJ31" i="1" s="1"/>
  <c r="AN31" i="1" s="1"/>
  <c r="AF31" i="1"/>
  <c r="T32" i="1" l="1"/>
  <c r="O32" i="1"/>
  <c r="P32" i="1"/>
  <c r="I32" i="1"/>
  <c r="X32" i="1" s="1"/>
  <c r="Z32" i="1" s="1"/>
  <c r="AC32" i="1"/>
  <c r="AI32" i="1"/>
  <c r="AP32" i="1" l="1"/>
  <c r="AR32" i="1" s="1"/>
  <c r="L32" i="1"/>
  <c r="I33" i="1" a="1"/>
  <c r="Y33" i="1" s="1"/>
  <c r="N32" i="1"/>
  <c r="R32" i="1" s="1"/>
  <c r="V32" i="1" s="1"/>
  <c r="AC33" i="1" a="1"/>
  <c r="AQ33" i="1" s="1"/>
  <c r="AF32" i="1"/>
  <c r="AH32" i="1"/>
  <c r="AJ32" i="1" s="1"/>
  <c r="AN32" i="1" s="1"/>
  <c r="T33" i="1" l="1"/>
  <c r="O33" i="1"/>
  <c r="I33" i="1"/>
  <c r="X33" i="1" s="1"/>
  <c r="Z33" i="1" s="1"/>
  <c r="P33" i="1"/>
  <c r="AC33" i="1"/>
  <c r="AI33" i="1"/>
  <c r="AP33" i="1" l="1"/>
  <c r="AR33" i="1" s="1"/>
  <c r="L33" i="1"/>
  <c r="N33" i="1"/>
  <c r="R33" i="1" s="1"/>
  <c r="V33" i="1" s="1"/>
  <c r="I34" i="1" a="1"/>
  <c r="Y34" i="1" s="1"/>
  <c r="AC34" i="1" a="1"/>
  <c r="AQ34" i="1" s="1"/>
  <c r="AH33" i="1"/>
  <c r="AJ33" i="1" s="1"/>
  <c r="AN33" i="1" s="1"/>
  <c r="AF33" i="1"/>
  <c r="T34" i="1" l="1"/>
  <c r="O34" i="1"/>
  <c r="I34" i="1"/>
  <c r="X34" i="1" s="1"/>
  <c r="Z34" i="1" s="1"/>
  <c r="P34" i="1"/>
  <c r="AC34" i="1"/>
  <c r="AI34" i="1"/>
  <c r="AP34" i="1" l="1"/>
  <c r="AR34" i="1" s="1"/>
  <c r="L34" i="1"/>
  <c r="I35" i="1" a="1"/>
  <c r="Y35" i="1" s="1"/>
  <c r="N34" i="1"/>
  <c r="R34" i="1" s="1"/>
  <c r="V34" i="1" s="1"/>
  <c r="AC35" i="1" a="1"/>
  <c r="AQ35" i="1" s="1"/>
  <c r="AH34" i="1"/>
  <c r="AJ34" i="1" s="1"/>
  <c r="AN34" i="1" s="1"/>
  <c r="AF34" i="1"/>
  <c r="T35" i="1" l="1"/>
  <c r="O35" i="1"/>
  <c r="P35" i="1"/>
  <c r="I35" i="1"/>
  <c r="X35" i="1" s="1"/>
  <c r="Z35" i="1" s="1"/>
  <c r="AC35" i="1"/>
  <c r="AI35" i="1"/>
  <c r="AP35" i="1" l="1"/>
  <c r="AR35" i="1" s="1"/>
  <c r="L35" i="1"/>
  <c r="N35" i="1"/>
  <c r="R35" i="1" s="1"/>
  <c r="V35" i="1" s="1"/>
  <c r="I36" i="1" a="1"/>
  <c r="Y36" i="1" s="1"/>
  <c r="AC36" i="1" a="1"/>
  <c r="AQ36" i="1" s="1"/>
  <c r="AH35" i="1"/>
  <c r="AJ35" i="1" s="1"/>
  <c r="AN35" i="1" s="1"/>
  <c r="AF35" i="1"/>
  <c r="T36" i="1" l="1"/>
  <c r="O36" i="1"/>
  <c r="P36" i="1"/>
  <c r="I36" i="1"/>
  <c r="X36" i="1" s="1"/>
  <c r="Z36" i="1" s="1"/>
  <c r="AC36" i="1"/>
  <c r="AI36" i="1"/>
  <c r="AP36" i="1" l="1"/>
  <c r="AR36" i="1" s="1"/>
  <c r="L36" i="1"/>
  <c r="I37" i="1" a="1"/>
  <c r="Y37" i="1" s="1"/>
  <c r="N36" i="1"/>
  <c r="R36" i="1" s="1"/>
  <c r="V36" i="1" s="1"/>
  <c r="AC37" i="1" a="1"/>
  <c r="AQ37" i="1" s="1"/>
  <c r="AH36" i="1"/>
  <c r="AJ36" i="1" s="1"/>
  <c r="AN36" i="1" s="1"/>
  <c r="AF36" i="1"/>
  <c r="T37" i="1" l="1"/>
  <c r="O37" i="1"/>
  <c r="P37" i="1"/>
  <c r="I37" i="1"/>
  <c r="X37" i="1" s="1"/>
  <c r="Z37" i="1" s="1"/>
  <c r="AC37" i="1"/>
  <c r="AI37" i="1"/>
  <c r="AP37" i="1" l="1"/>
  <c r="AR37" i="1" s="1"/>
  <c r="L37" i="1"/>
  <c r="I38" i="1" a="1"/>
  <c r="Y38" i="1" s="1"/>
  <c r="N37" i="1"/>
  <c r="R37" i="1" s="1"/>
  <c r="V37" i="1" s="1"/>
  <c r="AC38" i="1" a="1"/>
  <c r="AQ38" i="1" s="1"/>
  <c r="AH37" i="1"/>
  <c r="AJ37" i="1" s="1"/>
  <c r="AN37" i="1" s="1"/>
  <c r="AF37" i="1"/>
  <c r="T38" i="1" l="1"/>
  <c r="O38" i="1"/>
  <c r="P38" i="1"/>
  <c r="I38" i="1"/>
  <c r="X38" i="1" s="1"/>
  <c r="Z38" i="1" s="1"/>
  <c r="AC38" i="1"/>
  <c r="AI38" i="1"/>
  <c r="AP38" i="1" l="1"/>
  <c r="AR38" i="1" s="1"/>
  <c r="L38" i="1"/>
  <c r="I39" i="1" a="1"/>
  <c r="Y39" i="1" s="1"/>
  <c r="N38" i="1"/>
  <c r="R38" i="1" s="1"/>
  <c r="V38" i="1" s="1"/>
  <c r="AC39" i="1" a="1"/>
  <c r="AQ39" i="1" s="1"/>
  <c r="AH38" i="1"/>
  <c r="AJ38" i="1" s="1"/>
  <c r="AN38" i="1" s="1"/>
  <c r="AF38" i="1"/>
  <c r="T39" i="1" l="1"/>
  <c r="O39" i="1"/>
  <c r="I39" i="1"/>
  <c r="X39" i="1" s="1"/>
  <c r="Z39" i="1" s="1"/>
  <c r="Z41" i="1" s="1" a="1"/>
  <c r="Z41" i="1" s="1"/>
  <c r="P39" i="1"/>
  <c r="AC39" i="1"/>
  <c r="AI39" i="1"/>
  <c r="AP39" i="1" l="1"/>
  <c r="AR39" i="1" s="1"/>
  <c r="AR41" i="1" s="1" a="1"/>
  <c r="AR41" i="1" s="1"/>
  <c r="L39" i="1"/>
  <c r="N39" i="1"/>
  <c r="R39" i="1" s="1"/>
  <c r="V39" i="1" s="1"/>
  <c r="V41" i="1" s="1" a="1"/>
  <c r="V41" i="1" s="1"/>
  <c r="AH39" i="1"/>
  <c r="AJ39" i="1" s="1"/>
  <c r="AN39" i="1" s="1"/>
  <c r="AN41" i="1" s="1" a="1"/>
  <c r="AN41" i="1" s="1"/>
  <c r="AF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<sst xmlns="http://schemas.openxmlformats.org/spreadsheetml/2006/main" count="82" uniqueCount="44">
  <si>
    <t xml:space="preserve">Transition matrix for treatment A </t>
  </si>
  <si>
    <t>PFS</t>
  </si>
  <si>
    <t>PD</t>
  </si>
  <si>
    <t>DEAD</t>
  </si>
  <si>
    <t>PDP</t>
  </si>
  <si>
    <t>Adjusted transition probabilities for B</t>
  </si>
  <si>
    <t>PROBABILITY B</t>
  </si>
  <si>
    <t xml:space="preserve">PROBABILITY A </t>
  </si>
  <si>
    <t>FROM</t>
  </si>
  <si>
    <t xml:space="preserve">TO </t>
  </si>
  <si>
    <t>Transition matrix for treatment B</t>
  </si>
  <si>
    <t xml:space="preserve">first calculate adjusted transition probability, to get transition matrix </t>
  </si>
  <si>
    <t>(all rows should add up to 1)</t>
  </si>
  <si>
    <t>Health state payoffs</t>
  </si>
  <si>
    <t>COSTS</t>
  </si>
  <si>
    <t>QALYs</t>
  </si>
  <si>
    <t xml:space="preserve">HEALTH PAYOFFS </t>
  </si>
  <si>
    <t xml:space="preserve">ACQUISITION COSTS </t>
  </si>
  <si>
    <t>A</t>
  </si>
  <si>
    <t>B</t>
  </si>
  <si>
    <t xml:space="preserve">COHORT </t>
  </si>
  <si>
    <t xml:space="preserve">Willingness to pay of 30,000 per qaly, will B be cost-effective compared to A? </t>
  </si>
  <si>
    <t>CHECKING</t>
  </si>
  <si>
    <t xml:space="preserve">TREATMENT A </t>
  </si>
  <si>
    <t>HS TOTAL</t>
  </si>
  <si>
    <t>TREATMENT B</t>
  </si>
  <si>
    <t xml:space="preserve">CHECKING </t>
  </si>
  <si>
    <t>TOTAL COST</t>
  </si>
  <si>
    <t>QALYS(A)</t>
  </si>
  <si>
    <t>TOTAL</t>
  </si>
  <si>
    <t>DRUG ACQUISITION COST(A)</t>
  </si>
  <si>
    <t>DRUG AQCUISITION COST(B)</t>
  </si>
  <si>
    <t>QALYs(B)</t>
  </si>
  <si>
    <t>Treatment A</t>
  </si>
  <si>
    <t>Treatment B</t>
  </si>
  <si>
    <t xml:space="preserve">Incremental </t>
  </si>
  <si>
    <t>TOTAL QALYs</t>
  </si>
  <si>
    <t>NMB</t>
  </si>
  <si>
    <t>ICER</t>
  </si>
  <si>
    <t>higher than 37,000 pounds, not cost effective</t>
  </si>
  <si>
    <t>WTPP</t>
  </si>
  <si>
    <t xml:space="preserve">If NMB is negative, it is not cost-effective </t>
  </si>
  <si>
    <t>NMB&gt;0 it is cost effective at that WTP</t>
  </si>
  <si>
    <t>NMB suits uncertainty analysis (probabilistic 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</si>
</sst>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£-809]* #,##0.00_-;\-[$£-809]* #,##0.00_-;_-[$£-8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3" borderId="0" xfId="0" applyNumberFormat="1" applyFill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9DEA-E9D0-4278-9849-7AC52C86BB82}">
  <dimension ref="A2:AR55"/>
  <sheetViews>
    <sheetView tabSelected="1" topLeftCell="Z5" workbookViewId="0">
      <selection activeCell="AH9" sqref="AH9"/>
    </sheetView>
  </sheetViews>
  <sheetFormatPr defaultRowHeight="14.5" x14ac:dyDescent="0.35"/>
  <cols>
    <col min="2" max="2" width="12.90625" customWidth="1"/>
    <col min="3" max="3" width="15.1796875" customWidth="1"/>
    <col min="5" max="5" width="13.7265625" customWidth="1"/>
    <col min="8" max="13" width="8.7265625" customWidth="1"/>
    <col min="14" max="15" width="12.1796875" customWidth="1"/>
    <col min="16" max="16" width="4.81640625" customWidth="1"/>
    <col min="17" max="17" width="8.7265625" customWidth="1"/>
    <col min="18" max="27" width="12.1796875" customWidth="1"/>
    <col min="34" max="36" width="12.1796875" bestFit="1" customWidth="1"/>
    <col min="38" max="38" width="13.81640625" bestFit="1" customWidth="1"/>
    <col min="40" max="40" width="13.81640625" bestFit="1" customWidth="1"/>
  </cols>
  <sheetData>
    <row r="2" spans="1:44" x14ac:dyDescent="0.35">
      <c r="A2" s="12" t="s">
        <v>0</v>
      </c>
      <c r="B2" s="12"/>
      <c r="C2" s="12"/>
      <c r="D2" s="12"/>
      <c r="I2" s="12" t="s">
        <v>23</v>
      </c>
      <c r="J2" s="12"/>
      <c r="N2" s="1" t="s">
        <v>14</v>
      </c>
      <c r="X2" s="1" t="s">
        <v>28</v>
      </c>
      <c r="AA2" s="9"/>
      <c r="AC2" s="1" t="s">
        <v>25</v>
      </c>
      <c r="AH2" s="1" t="s">
        <v>14</v>
      </c>
      <c r="AL2" t="s">
        <v>31</v>
      </c>
      <c r="AP2" s="1" t="s">
        <v>32</v>
      </c>
    </row>
    <row r="3" spans="1:44" x14ac:dyDescent="0.35">
      <c r="B3" t="s">
        <v>1</v>
      </c>
      <c r="C3" t="s">
        <v>2</v>
      </c>
      <c r="D3" t="s">
        <v>3</v>
      </c>
      <c r="I3" t="s">
        <v>1</v>
      </c>
      <c r="J3" t="s">
        <v>2</v>
      </c>
      <c r="K3" t="s">
        <v>3</v>
      </c>
      <c r="L3" t="s">
        <v>22</v>
      </c>
      <c r="N3" t="s">
        <v>1</v>
      </c>
      <c r="O3" t="s">
        <v>2</v>
      </c>
      <c r="P3" t="s">
        <v>3</v>
      </c>
      <c r="R3" t="s">
        <v>24</v>
      </c>
      <c r="T3" s="1" t="s">
        <v>30</v>
      </c>
      <c r="V3" t="s">
        <v>27</v>
      </c>
      <c r="X3" t="s">
        <v>1</v>
      </c>
      <c r="Y3" t="s">
        <v>4</v>
      </c>
      <c r="Z3" t="s">
        <v>29</v>
      </c>
      <c r="AA3" s="9"/>
      <c r="AC3" t="s">
        <v>1</v>
      </c>
      <c r="AD3" t="s">
        <v>2</v>
      </c>
      <c r="AE3" t="s">
        <v>3</v>
      </c>
      <c r="AF3" t="s">
        <v>26</v>
      </c>
      <c r="AH3" t="s">
        <v>1</v>
      </c>
      <c r="AI3" t="s">
        <v>2</v>
      </c>
      <c r="AJ3" t="s">
        <v>24</v>
      </c>
      <c r="AN3" s="1" t="s">
        <v>27</v>
      </c>
      <c r="AP3" t="s">
        <v>1</v>
      </c>
      <c r="AQ3" t="s">
        <v>2</v>
      </c>
      <c r="AR3" t="s">
        <v>29</v>
      </c>
    </row>
    <row r="4" spans="1:44" x14ac:dyDescent="0.35">
      <c r="A4" t="s">
        <v>1</v>
      </c>
      <c r="B4">
        <v>0.94</v>
      </c>
      <c r="C4">
        <v>0.05</v>
      </c>
      <c r="D4">
        <v>0.01</v>
      </c>
      <c r="H4">
        <v>1</v>
      </c>
      <c r="I4">
        <v>1000</v>
      </c>
      <c r="J4">
        <v>0</v>
      </c>
      <c r="K4">
        <v>0</v>
      </c>
      <c r="L4">
        <f>ROUND((SUM(I4:K4)),5)</f>
        <v>1000</v>
      </c>
      <c r="N4" s="6">
        <f>I4*$B$26</f>
        <v>100000</v>
      </c>
      <c r="O4" s="6">
        <f>J4*$B$27</f>
        <v>0</v>
      </c>
      <c r="P4" s="6">
        <f>K4*$B$28</f>
        <v>0</v>
      </c>
      <c r="Q4" s="6"/>
      <c r="R4" s="6">
        <f>SUM(N4:O4)</f>
        <v>100000</v>
      </c>
      <c r="S4" s="6"/>
      <c r="T4" s="6">
        <f>(($I$4-K4)*$B$32)</f>
        <v>250000</v>
      </c>
      <c r="U4" s="6"/>
      <c r="V4" s="6">
        <f>R4+T4</f>
        <v>350000</v>
      </c>
      <c r="W4" s="6"/>
      <c r="X4" s="6">
        <f>I4*$C$26</f>
        <v>850</v>
      </c>
      <c r="Y4" s="6">
        <f>J4*$C$27</f>
        <v>0</v>
      </c>
      <c r="Z4" s="6">
        <f>SUM(X4:Y4)</f>
        <v>850</v>
      </c>
      <c r="AA4" s="10"/>
      <c r="AB4">
        <v>1</v>
      </c>
      <c r="AC4" s="7">
        <v>1000</v>
      </c>
      <c r="AD4" s="7">
        <v>0</v>
      </c>
      <c r="AE4" s="7">
        <v>0</v>
      </c>
      <c r="AF4">
        <f>ROUND((SUM(AC4:AE4)),5)</f>
        <v>1000</v>
      </c>
      <c r="AH4" s="6">
        <f>AC4*$B$26</f>
        <v>100000</v>
      </c>
      <c r="AI4" s="6">
        <f>AD4*$B$27</f>
        <v>0</v>
      </c>
      <c r="AJ4" s="6">
        <f>SUM(AH4:AI4)</f>
        <v>100000</v>
      </c>
      <c r="AL4" s="6">
        <f>(($AC$4-AE4)*$B$33)</f>
        <v>4000000</v>
      </c>
      <c r="AN4" s="6">
        <f>AJ4+AL4</f>
        <v>4100000</v>
      </c>
      <c r="AP4">
        <f>AC4*$C$26</f>
        <v>850</v>
      </c>
      <c r="AQ4">
        <f>AD4*$C$27</f>
        <v>0</v>
      </c>
      <c r="AR4">
        <f>AP4+AQ4</f>
        <v>850</v>
      </c>
    </row>
    <row r="5" spans="1:44" x14ac:dyDescent="0.35">
      <c r="A5" t="s">
        <v>2</v>
      </c>
      <c r="B5">
        <v>0</v>
      </c>
      <c r="C5">
        <v>0.9</v>
      </c>
      <c r="D5">
        <v>0.1</v>
      </c>
      <c r="H5">
        <v>2</v>
      </c>
      <c r="I5" cm="1">
        <f t="array" ref="I5:K5">MMULT(I4:K4,$B$4:$D$6)</f>
        <v>940</v>
      </c>
      <c r="J5">
        <v>50</v>
      </c>
      <c r="K5">
        <v>10</v>
      </c>
      <c r="L5">
        <f t="shared" ref="L5:L39" si="0">ROUND((SUM(I5:K5)),5)</f>
        <v>1000</v>
      </c>
      <c r="N5" s="6">
        <f t="shared" ref="N5:N39" si="1">I5*$B$26</f>
        <v>94000</v>
      </c>
      <c r="O5" s="6">
        <f t="shared" ref="O5:O39" si="2">J5*$B$27</f>
        <v>100000</v>
      </c>
      <c r="P5" s="6">
        <f t="shared" ref="P5:P39" si="3">K5*$B$28</f>
        <v>0</v>
      </c>
      <c r="Q5" s="6"/>
      <c r="R5" s="6">
        <f t="shared" ref="R5:R39" si="4">SUM(N5:O5)</f>
        <v>194000</v>
      </c>
      <c r="S5" s="6"/>
      <c r="T5" s="6">
        <f t="shared" ref="T5:T39" si="5">(($I$4-K5)*$B$32)</f>
        <v>247500</v>
      </c>
      <c r="U5" s="6"/>
      <c r="V5" s="6">
        <f t="shared" ref="V5:V39" si="6">R5+T5</f>
        <v>441500</v>
      </c>
      <c r="W5" s="6"/>
      <c r="X5" s="6">
        <f t="shared" ref="X5:X39" si="7">I5*$C$26</f>
        <v>799</v>
      </c>
      <c r="Y5" s="6">
        <f t="shared" ref="Y5:Y39" si="8">J5*$C$27</f>
        <v>27.500000000000004</v>
      </c>
      <c r="Z5" s="6">
        <f t="shared" ref="Z5:Z39" si="9">SUM(X5:Y5)</f>
        <v>826.5</v>
      </c>
      <c r="AA5" s="10"/>
      <c r="AB5">
        <v>2</v>
      </c>
      <c r="AC5" s="7" cm="1">
        <f t="array" ref="AC5:AE5">MMULT(AC4:AE4,$B$19:$D$21)</f>
        <v>952.5</v>
      </c>
      <c r="AD5" s="7">
        <v>40</v>
      </c>
      <c r="AE5" s="7">
        <v>7.5</v>
      </c>
      <c r="AF5">
        <f t="shared" ref="AF5:AF39" si="10">ROUND((SUM(AC5:AE5)),5)</f>
        <v>1000</v>
      </c>
      <c r="AH5" s="6">
        <f t="shared" ref="AH5:AH39" si="11">AC5*$B$26</f>
        <v>95250</v>
      </c>
      <c r="AI5" s="6">
        <f t="shared" ref="AI5:AI39" si="12">AD5*$B$27</f>
        <v>80000</v>
      </c>
      <c r="AJ5" s="6">
        <f t="shared" ref="AJ5:AJ39" si="13">SUM(AH5:AI5)</f>
        <v>175250</v>
      </c>
      <c r="AL5" s="6">
        <f t="shared" ref="AL5:AL39" si="14">(($AC$4-AE5)*$B$33)</f>
        <v>3970000</v>
      </c>
      <c r="AN5" s="6">
        <f t="shared" ref="AN5:AN39" si="15">AJ5+AL5</f>
        <v>4145250</v>
      </c>
      <c r="AP5">
        <f t="shared" ref="AP5:AP39" si="16">AC5*$C$26</f>
        <v>809.625</v>
      </c>
      <c r="AQ5">
        <f t="shared" ref="AQ5:AQ39" si="17">AD5*$C$27</f>
        <v>22</v>
      </c>
      <c r="AR5">
        <f t="shared" ref="AR5:AR39" si="18">AP5+AQ5</f>
        <v>831.625</v>
      </c>
    </row>
    <row r="6" spans="1:44" x14ac:dyDescent="0.35">
      <c r="A6" t="s">
        <v>3</v>
      </c>
      <c r="B6">
        <v>0</v>
      </c>
      <c r="C6">
        <v>0</v>
      </c>
      <c r="D6">
        <v>1</v>
      </c>
      <c r="H6">
        <v>3</v>
      </c>
      <c r="I6" cm="1">
        <f t="array" ref="I6:K6">MMULT(I5:K5,$B$4:$D$6)</f>
        <v>883.59999999999991</v>
      </c>
      <c r="J6">
        <v>92</v>
      </c>
      <c r="K6">
        <v>24.4</v>
      </c>
      <c r="L6">
        <f t="shared" si="0"/>
        <v>1000</v>
      </c>
      <c r="N6" s="6">
        <f t="shared" si="1"/>
        <v>88359.999999999985</v>
      </c>
      <c r="O6" s="6">
        <f t="shared" si="2"/>
        <v>184000</v>
      </c>
      <c r="P6" s="6">
        <f t="shared" si="3"/>
        <v>0</v>
      </c>
      <c r="Q6" s="6"/>
      <c r="R6" s="6">
        <f t="shared" si="4"/>
        <v>272360</v>
      </c>
      <c r="S6" s="6"/>
      <c r="T6" s="6">
        <f t="shared" si="5"/>
        <v>243900</v>
      </c>
      <c r="U6" s="6"/>
      <c r="V6" s="6">
        <f t="shared" si="6"/>
        <v>516260</v>
      </c>
      <c r="W6" s="6"/>
      <c r="X6" s="6">
        <f t="shared" si="7"/>
        <v>751.06</v>
      </c>
      <c r="Y6" s="6">
        <f t="shared" si="8"/>
        <v>50.6</v>
      </c>
      <c r="Z6" s="6">
        <f t="shared" si="9"/>
        <v>801.66</v>
      </c>
      <c r="AA6" s="10"/>
      <c r="AB6">
        <v>3</v>
      </c>
      <c r="AC6" s="7" cm="1">
        <f t="array" ref="AC6:AE6">MMULT(AC5:AE5,$B$19:$D$21)</f>
        <v>907.25625000000002</v>
      </c>
      <c r="AD6" s="7">
        <v>75.099999999999994</v>
      </c>
      <c r="AE6" s="7">
        <v>17.643750000000001</v>
      </c>
      <c r="AF6">
        <f t="shared" si="10"/>
        <v>1000</v>
      </c>
      <c r="AH6" s="6">
        <f t="shared" si="11"/>
        <v>90725.625</v>
      </c>
      <c r="AI6" s="6">
        <f t="shared" si="12"/>
        <v>150200</v>
      </c>
      <c r="AJ6" s="6">
        <f t="shared" si="13"/>
        <v>240925.625</v>
      </c>
      <c r="AL6" s="6">
        <f t="shared" si="14"/>
        <v>3929425</v>
      </c>
      <c r="AN6" s="6">
        <f t="shared" si="15"/>
        <v>4170350.625</v>
      </c>
      <c r="AP6">
        <f t="shared" si="16"/>
        <v>771.16781249999997</v>
      </c>
      <c r="AQ6">
        <f t="shared" si="17"/>
        <v>41.305</v>
      </c>
      <c r="AR6">
        <f t="shared" si="18"/>
        <v>812.47281249999992</v>
      </c>
    </row>
    <row r="7" spans="1:44" x14ac:dyDescent="0.35">
      <c r="H7">
        <v>4</v>
      </c>
      <c r="I7" cm="1">
        <f t="array" ref="I7:K7">MMULT(I6:K6,$B$4:$D$6)</f>
        <v>830.58399999999983</v>
      </c>
      <c r="J7">
        <v>126.97999999999999</v>
      </c>
      <c r="K7">
        <v>42.436</v>
      </c>
      <c r="L7">
        <f t="shared" si="0"/>
        <v>1000</v>
      </c>
      <c r="N7" s="6">
        <f t="shared" si="1"/>
        <v>83058.39999999998</v>
      </c>
      <c r="O7" s="6">
        <f t="shared" si="2"/>
        <v>253959.99999999997</v>
      </c>
      <c r="P7" s="6">
        <f t="shared" si="3"/>
        <v>0</v>
      </c>
      <c r="Q7" s="6"/>
      <c r="R7" s="6">
        <f t="shared" si="4"/>
        <v>337018.39999999997</v>
      </c>
      <c r="S7" s="6"/>
      <c r="T7" s="6">
        <f t="shared" si="5"/>
        <v>239391</v>
      </c>
      <c r="U7" s="6"/>
      <c r="V7" s="6">
        <f t="shared" si="6"/>
        <v>576409.39999999991</v>
      </c>
      <c r="W7" s="6"/>
      <c r="X7" s="6">
        <f t="shared" si="7"/>
        <v>705.99639999999988</v>
      </c>
      <c r="Y7" s="6">
        <f t="shared" si="8"/>
        <v>69.838999999999999</v>
      </c>
      <c r="Z7" s="6">
        <f t="shared" si="9"/>
        <v>775.83539999999994</v>
      </c>
      <c r="AA7" s="10"/>
      <c r="AB7">
        <v>4</v>
      </c>
      <c r="AC7" s="7" cm="1">
        <f t="array" ref="AC7:AE7">MMULT(AC6:AE6,$B$19:$D$21)</f>
        <v>864.16157812500001</v>
      </c>
      <c r="AD7" s="7">
        <v>105.75775</v>
      </c>
      <c r="AE7" s="7">
        <v>30.080671875</v>
      </c>
      <c r="AF7">
        <f t="shared" si="10"/>
        <v>1000</v>
      </c>
      <c r="AH7" s="6">
        <f t="shared" si="11"/>
        <v>86416.157812499994</v>
      </c>
      <c r="AI7" s="6">
        <f t="shared" si="12"/>
        <v>211515.5</v>
      </c>
      <c r="AJ7" s="6">
        <f t="shared" si="13"/>
        <v>297931.65781250002</v>
      </c>
      <c r="AL7" s="6">
        <f t="shared" si="14"/>
        <v>3879677.3125</v>
      </c>
      <c r="AN7" s="6">
        <f t="shared" si="15"/>
        <v>4177608.9703124999</v>
      </c>
      <c r="AP7">
        <f t="shared" si="16"/>
        <v>734.53734140624999</v>
      </c>
      <c r="AQ7">
        <f t="shared" si="17"/>
        <v>58.166762500000004</v>
      </c>
      <c r="AR7">
        <f t="shared" si="18"/>
        <v>792.70410390625</v>
      </c>
    </row>
    <row r="8" spans="1:44" x14ac:dyDescent="0.35">
      <c r="H8">
        <v>5</v>
      </c>
      <c r="I8" cm="1">
        <f t="array" ref="I8:K8">MMULT(I7:K7,$B$4:$D$6)</f>
        <v>780.74895999999978</v>
      </c>
      <c r="J8">
        <v>155.81119999999999</v>
      </c>
      <c r="K8">
        <v>63.439839999999997</v>
      </c>
      <c r="L8">
        <f t="shared" si="0"/>
        <v>1000</v>
      </c>
      <c r="N8" s="6">
        <f t="shared" si="1"/>
        <v>78074.895999999979</v>
      </c>
      <c r="O8" s="6">
        <f t="shared" si="2"/>
        <v>311622.39999999997</v>
      </c>
      <c r="P8" s="6">
        <f t="shared" si="3"/>
        <v>0</v>
      </c>
      <c r="Q8" s="6"/>
      <c r="R8" s="6">
        <f t="shared" si="4"/>
        <v>389697.29599999997</v>
      </c>
      <c r="S8" s="6"/>
      <c r="T8" s="6">
        <f t="shared" si="5"/>
        <v>234140.04</v>
      </c>
      <c r="U8" s="6"/>
      <c r="V8" s="6">
        <f t="shared" si="6"/>
        <v>623837.33600000001</v>
      </c>
      <c r="W8" s="6"/>
      <c r="X8" s="6">
        <f t="shared" si="7"/>
        <v>663.63661599999978</v>
      </c>
      <c r="Y8" s="6">
        <f t="shared" si="8"/>
        <v>85.696159999999992</v>
      </c>
      <c r="Z8" s="6">
        <f t="shared" si="9"/>
        <v>749.33277599999974</v>
      </c>
      <c r="AA8" s="10"/>
      <c r="AB8">
        <v>5</v>
      </c>
      <c r="AC8" s="7" cm="1">
        <f t="array" ref="AC8:AE8">MMULT(AC7:AE7,$B$19:$D$21)</f>
        <v>823.11390316406255</v>
      </c>
      <c r="AD8" s="7">
        <v>132.39238187500001</v>
      </c>
      <c r="AE8" s="7">
        <v>44.493714960937496</v>
      </c>
      <c r="AF8">
        <f t="shared" si="10"/>
        <v>1000</v>
      </c>
      <c r="AH8" s="6">
        <f t="shared" si="11"/>
        <v>82311.39031640625</v>
      </c>
      <c r="AI8" s="6">
        <f t="shared" si="12"/>
        <v>264784.76375000004</v>
      </c>
      <c r="AJ8" s="6">
        <f t="shared" si="13"/>
        <v>347096.15406640631</v>
      </c>
      <c r="AL8" s="6">
        <f t="shared" si="14"/>
        <v>3822025.14015625</v>
      </c>
      <c r="AN8" s="6">
        <f t="shared" si="15"/>
        <v>4169121.2942226562</v>
      </c>
      <c r="AP8">
        <f t="shared" si="16"/>
        <v>699.6468176894532</v>
      </c>
      <c r="AQ8">
        <f t="shared" si="17"/>
        <v>72.81581003125001</v>
      </c>
      <c r="AR8">
        <f t="shared" si="18"/>
        <v>772.46262772070327</v>
      </c>
    </row>
    <row r="9" spans="1:44" x14ac:dyDescent="0.35">
      <c r="A9" s="1" t="s">
        <v>5</v>
      </c>
      <c r="B9" s="1"/>
      <c r="C9" s="1"/>
      <c r="H9">
        <v>6</v>
      </c>
      <c r="I9" cm="1">
        <f t="array" ref="I9:K9">MMULT(I8:K8,$B$4:$D$6)</f>
        <v>733.9040223999998</v>
      </c>
      <c r="J9">
        <v>179.26752799999997</v>
      </c>
      <c r="K9">
        <v>86.828449599999999</v>
      </c>
      <c r="L9">
        <f t="shared" si="0"/>
        <v>1000</v>
      </c>
      <c r="N9" s="6">
        <f t="shared" si="1"/>
        <v>73390.402239999981</v>
      </c>
      <c r="O9" s="6">
        <f t="shared" si="2"/>
        <v>358535.05599999992</v>
      </c>
      <c r="P9" s="6">
        <f t="shared" si="3"/>
        <v>0</v>
      </c>
      <c r="Q9" s="6"/>
      <c r="R9" s="6">
        <f t="shared" si="4"/>
        <v>431925.45823999989</v>
      </c>
      <c r="S9" s="6"/>
      <c r="T9" s="6">
        <f t="shared" si="5"/>
        <v>228292.88759999999</v>
      </c>
      <c r="U9" s="6"/>
      <c r="V9" s="6">
        <f t="shared" si="6"/>
        <v>660218.34583999985</v>
      </c>
      <c r="W9" s="6"/>
      <c r="X9" s="6">
        <f t="shared" si="7"/>
        <v>623.81841903999987</v>
      </c>
      <c r="Y9" s="6">
        <f t="shared" si="8"/>
        <v>98.597140399999986</v>
      </c>
      <c r="Z9" s="6">
        <f t="shared" si="9"/>
        <v>722.41555943999981</v>
      </c>
      <c r="AA9" s="10"/>
      <c r="AB9">
        <v>6</v>
      </c>
      <c r="AC9" s="7" cm="1">
        <f t="array" ref="AC9:AE9">MMULT(AC8:AE8,$B$19:$D$21)</f>
        <v>784.01599276376965</v>
      </c>
      <c r="AD9" s="7">
        <v>155.38750936093751</v>
      </c>
      <c r="AE9" s="7">
        <v>60.596497875292968</v>
      </c>
      <c r="AF9">
        <f t="shared" si="10"/>
        <v>1000</v>
      </c>
      <c r="AH9" s="6">
        <f t="shared" si="11"/>
        <v>78401.599276376961</v>
      </c>
      <c r="AI9" s="6">
        <f t="shared" si="12"/>
        <v>310775.01872187504</v>
      </c>
      <c r="AJ9" s="6">
        <f t="shared" si="13"/>
        <v>389176.61799825198</v>
      </c>
      <c r="AL9" s="6">
        <f t="shared" si="14"/>
        <v>3757614.0084988284</v>
      </c>
      <c r="AN9" s="6">
        <f t="shared" si="15"/>
        <v>4146790.6264970805</v>
      </c>
      <c r="AP9">
        <f t="shared" si="16"/>
        <v>666.41359384920418</v>
      </c>
      <c r="AQ9">
        <f t="shared" si="17"/>
        <v>85.463130148515646</v>
      </c>
      <c r="AR9">
        <f t="shared" si="18"/>
        <v>751.87672399771986</v>
      </c>
    </row>
    <row r="10" spans="1:44" x14ac:dyDescent="0.35">
      <c r="H10">
        <v>7</v>
      </c>
      <c r="I10" cm="1">
        <f t="array" ref="I10:K10">MMULT(I9:K9,$B$4:$D$6)</f>
        <v>689.86978105599974</v>
      </c>
      <c r="J10">
        <v>198.03597631999997</v>
      </c>
      <c r="K10">
        <v>112.094242624</v>
      </c>
      <c r="L10">
        <f t="shared" si="0"/>
        <v>1000</v>
      </c>
      <c r="N10" s="6">
        <f t="shared" si="1"/>
        <v>68986.978105599977</v>
      </c>
      <c r="O10" s="6">
        <f t="shared" si="2"/>
        <v>396071.95263999997</v>
      </c>
      <c r="P10" s="6">
        <f t="shared" si="3"/>
        <v>0</v>
      </c>
      <c r="Q10" s="6"/>
      <c r="R10" s="6">
        <f t="shared" si="4"/>
        <v>465058.93074559997</v>
      </c>
      <c r="S10" s="6"/>
      <c r="T10" s="6">
        <f t="shared" si="5"/>
        <v>221976.43934400001</v>
      </c>
      <c r="U10" s="6"/>
      <c r="V10" s="6">
        <f t="shared" si="6"/>
        <v>687035.37008959998</v>
      </c>
      <c r="W10" s="6"/>
      <c r="X10" s="6">
        <f t="shared" si="7"/>
        <v>586.38931389759978</v>
      </c>
      <c r="Y10" s="6">
        <f t="shared" si="8"/>
        <v>108.919786976</v>
      </c>
      <c r="Z10" s="6">
        <f t="shared" si="9"/>
        <v>695.30910087359973</v>
      </c>
      <c r="AA10" s="10"/>
      <c r="AB10">
        <v>7</v>
      </c>
      <c r="AC10" s="7" cm="1">
        <f t="array" ref="AC10:AE10">MMULT(AC9:AE9,$B$19:$D$21)</f>
        <v>746.77523310749064</v>
      </c>
      <c r="AD10" s="7">
        <v>175.094085869418</v>
      </c>
      <c r="AE10" s="7">
        <v>78.130681023091554</v>
      </c>
      <c r="AF10">
        <f t="shared" si="10"/>
        <v>1000</v>
      </c>
      <c r="AH10" s="6">
        <f t="shared" si="11"/>
        <v>74677.523310749064</v>
      </c>
      <c r="AI10" s="6">
        <f t="shared" si="12"/>
        <v>350188.17173883598</v>
      </c>
      <c r="AJ10" s="6">
        <f t="shared" si="13"/>
        <v>424865.69504958508</v>
      </c>
      <c r="AL10" s="6">
        <f t="shared" si="14"/>
        <v>3687477.2759076338</v>
      </c>
      <c r="AN10" s="6">
        <f t="shared" si="15"/>
        <v>4112342.9709572187</v>
      </c>
      <c r="AP10">
        <f t="shared" si="16"/>
        <v>634.758948141367</v>
      </c>
      <c r="AQ10">
        <f t="shared" si="17"/>
        <v>96.301747228179906</v>
      </c>
      <c r="AR10">
        <f t="shared" si="18"/>
        <v>731.06069536954692</v>
      </c>
    </row>
    <row r="11" spans="1:44" x14ac:dyDescent="0.35">
      <c r="A11" t="s">
        <v>8</v>
      </c>
      <c r="B11" t="s">
        <v>9</v>
      </c>
      <c r="C11" t="s">
        <v>6</v>
      </c>
      <c r="D11" t="s">
        <v>7</v>
      </c>
      <c r="H11">
        <v>8</v>
      </c>
      <c r="I11" cm="1">
        <f t="array" ref="I11:K11">MMULT(I10:K10,$B$4:$D$6)</f>
        <v>648.47759419263969</v>
      </c>
      <c r="J11">
        <v>212.72586774079997</v>
      </c>
      <c r="K11">
        <v>138.79653806656</v>
      </c>
      <c r="L11">
        <f t="shared" si="0"/>
        <v>1000</v>
      </c>
      <c r="N11" s="6">
        <f t="shared" si="1"/>
        <v>64847.759419263966</v>
      </c>
      <c r="O11" s="6">
        <f t="shared" si="2"/>
        <v>425451.73548159993</v>
      </c>
      <c r="P11" s="6">
        <f t="shared" si="3"/>
        <v>0</v>
      </c>
      <c r="Q11" s="6"/>
      <c r="R11" s="6">
        <f t="shared" si="4"/>
        <v>490299.49490086391</v>
      </c>
      <c r="S11" s="6"/>
      <c r="T11" s="6">
        <f t="shared" si="5"/>
        <v>215300.86548335999</v>
      </c>
      <c r="U11" s="6"/>
      <c r="V11" s="6">
        <f t="shared" si="6"/>
        <v>705600.36038422387</v>
      </c>
      <c r="W11" s="6"/>
      <c r="X11" s="6">
        <f t="shared" si="7"/>
        <v>551.20595506374377</v>
      </c>
      <c r="Y11" s="6">
        <f t="shared" si="8"/>
        <v>116.99922725744</v>
      </c>
      <c r="Z11" s="6">
        <f t="shared" si="9"/>
        <v>668.20518232118377</v>
      </c>
      <c r="AA11" s="10"/>
      <c r="AB11">
        <v>8</v>
      </c>
      <c r="AC11" s="7" cm="1">
        <f t="array" ref="AC11:AE11">MMULT(AC10:AE10,$B$19:$D$21)</f>
        <v>711.30340953488485</v>
      </c>
      <c r="AD11" s="7">
        <v>191.83303875351126</v>
      </c>
      <c r="AE11" s="7">
        <v>96.863551711604089</v>
      </c>
      <c r="AF11">
        <f t="shared" si="10"/>
        <v>1000</v>
      </c>
      <c r="AH11" s="6">
        <f t="shared" si="11"/>
        <v>71130.340953488485</v>
      </c>
      <c r="AI11" s="6">
        <f t="shared" si="12"/>
        <v>383666.07750702254</v>
      </c>
      <c r="AJ11" s="6">
        <f t="shared" si="13"/>
        <v>454796.41846051102</v>
      </c>
      <c r="AL11" s="6">
        <f t="shared" si="14"/>
        <v>3612545.793153584</v>
      </c>
      <c r="AN11" s="6">
        <f t="shared" si="15"/>
        <v>4067342.2116140951</v>
      </c>
      <c r="AP11">
        <f t="shared" si="16"/>
        <v>604.60789810465212</v>
      </c>
      <c r="AQ11">
        <f t="shared" si="17"/>
        <v>105.50817131443119</v>
      </c>
      <c r="AR11">
        <f t="shared" si="18"/>
        <v>710.11606941908326</v>
      </c>
    </row>
    <row r="12" spans="1:44" x14ac:dyDescent="0.35">
      <c r="A12" t="s">
        <v>1</v>
      </c>
      <c r="B12" t="s">
        <v>2</v>
      </c>
      <c r="C12">
        <f>0.8*C4</f>
        <v>4.0000000000000008E-2</v>
      </c>
      <c r="D12">
        <f>C4</f>
        <v>0.05</v>
      </c>
      <c r="H12">
        <v>9</v>
      </c>
      <c r="I12" cm="1">
        <f t="array" ref="I12:K12">MMULT(I11:K11,$B$4:$D$6)</f>
        <v>609.56893854108125</v>
      </c>
      <c r="J12">
        <v>223.87716067635196</v>
      </c>
      <c r="K12">
        <v>166.55390078256639</v>
      </c>
      <c r="L12">
        <f t="shared" si="0"/>
        <v>1000</v>
      </c>
      <c r="N12" s="6">
        <f t="shared" si="1"/>
        <v>60956.893854108122</v>
      </c>
      <c r="O12" s="6">
        <f t="shared" si="2"/>
        <v>447754.3213527039</v>
      </c>
      <c r="P12" s="6">
        <f t="shared" si="3"/>
        <v>0</v>
      </c>
      <c r="Q12" s="6"/>
      <c r="R12" s="6">
        <f t="shared" si="4"/>
        <v>508711.21520681202</v>
      </c>
      <c r="S12" s="6"/>
      <c r="T12" s="6">
        <f t="shared" si="5"/>
        <v>208361.5248043584</v>
      </c>
      <c r="U12" s="6"/>
      <c r="V12" s="6">
        <f t="shared" si="6"/>
        <v>717072.74001117039</v>
      </c>
      <c r="W12" s="6"/>
      <c r="X12" s="6">
        <f t="shared" si="7"/>
        <v>518.1335977599191</v>
      </c>
      <c r="Y12" s="6">
        <f t="shared" si="8"/>
        <v>123.13243837199359</v>
      </c>
      <c r="Z12" s="6">
        <f t="shared" si="9"/>
        <v>641.26603613191264</v>
      </c>
      <c r="AA12" s="10"/>
      <c r="AB12">
        <v>9</v>
      </c>
      <c r="AC12" s="7" cm="1">
        <f t="array" ref="AC12:AE12">MMULT(AC11:AE11,$B$19:$D$21)</f>
        <v>677.51649758197777</v>
      </c>
      <c r="AD12" s="7">
        <v>205.89769722839333</v>
      </c>
      <c r="AE12" s="7">
        <v>116.58580518962907</v>
      </c>
      <c r="AF12">
        <f t="shared" si="10"/>
        <v>1000</v>
      </c>
      <c r="AH12" s="6">
        <f t="shared" si="11"/>
        <v>67751.649758197775</v>
      </c>
      <c r="AI12" s="6">
        <f t="shared" si="12"/>
        <v>411795.39445678663</v>
      </c>
      <c r="AJ12" s="6">
        <f t="shared" si="13"/>
        <v>479547.0442149844</v>
      </c>
      <c r="AL12" s="6">
        <f t="shared" si="14"/>
        <v>3533656.7792414837</v>
      </c>
      <c r="AN12" s="6">
        <f t="shared" si="15"/>
        <v>4013203.8234564681</v>
      </c>
      <c r="AP12">
        <f t="shared" si="16"/>
        <v>575.88902294468107</v>
      </c>
      <c r="AQ12">
        <f t="shared" si="17"/>
        <v>113.24373347561634</v>
      </c>
      <c r="AR12">
        <f t="shared" si="18"/>
        <v>689.13275642029737</v>
      </c>
    </row>
    <row r="13" spans="1:44" x14ac:dyDescent="0.35">
      <c r="A13" t="s">
        <v>1</v>
      </c>
      <c r="B13" t="s">
        <v>3</v>
      </c>
      <c r="C13">
        <f>0.75*D4</f>
        <v>7.4999999999999997E-3</v>
      </c>
      <c r="D13">
        <f>D4</f>
        <v>0.01</v>
      </c>
      <c r="H13">
        <v>10</v>
      </c>
      <c r="I13" cm="1">
        <f t="array" ref="I13:K13">MMULT(I12:K12,$B$4:$D$6)</f>
        <v>572.99480222861632</v>
      </c>
      <c r="J13">
        <v>231.96789153577083</v>
      </c>
      <c r="K13">
        <v>195.03730623561239</v>
      </c>
      <c r="L13">
        <f t="shared" si="0"/>
        <v>1000</v>
      </c>
      <c r="N13" s="6">
        <f t="shared" si="1"/>
        <v>57299.480222861632</v>
      </c>
      <c r="O13" s="6">
        <f t="shared" si="2"/>
        <v>463935.78307154169</v>
      </c>
      <c r="P13" s="6">
        <f t="shared" si="3"/>
        <v>0</v>
      </c>
      <c r="Q13" s="6"/>
      <c r="R13" s="6">
        <f t="shared" si="4"/>
        <v>521235.26329440332</v>
      </c>
      <c r="S13" s="6"/>
      <c r="T13" s="6">
        <f t="shared" si="5"/>
        <v>201240.67344109691</v>
      </c>
      <c r="U13" s="6"/>
      <c r="V13" s="6">
        <f t="shared" si="6"/>
        <v>722475.93673550023</v>
      </c>
      <c r="W13" s="6"/>
      <c r="X13" s="6">
        <f t="shared" si="7"/>
        <v>487.04558189432385</v>
      </c>
      <c r="Y13" s="6">
        <f t="shared" si="8"/>
        <v>127.58234034467397</v>
      </c>
      <c r="Z13" s="6">
        <f t="shared" si="9"/>
        <v>614.62792223899783</v>
      </c>
      <c r="AA13" s="10"/>
      <c r="AB13">
        <v>10</v>
      </c>
      <c r="AC13" s="7" cm="1">
        <f t="array" ref="AC13:AE13">MMULT(AC12:AE12,$B$19:$D$21)</f>
        <v>645.33446394683381</v>
      </c>
      <c r="AD13" s="7">
        <v>217.55602983954296</v>
      </c>
      <c r="AE13" s="7">
        <v>137.1095062136234</v>
      </c>
      <c r="AF13">
        <f t="shared" si="10"/>
        <v>1000</v>
      </c>
      <c r="AH13" s="6">
        <f t="shared" si="11"/>
        <v>64533.446394683378</v>
      </c>
      <c r="AI13" s="6">
        <f t="shared" si="12"/>
        <v>435112.05967908591</v>
      </c>
      <c r="AJ13" s="6">
        <f t="shared" si="13"/>
        <v>499645.5060737693</v>
      </c>
      <c r="AL13" s="6">
        <f t="shared" si="14"/>
        <v>3451561.9751455067</v>
      </c>
      <c r="AN13" s="6">
        <f t="shared" si="15"/>
        <v>3951207.4812192759</v>
      </c>
      <c r="AP13">
        <f t="shared" si="16"/>
        <v>548.53429435480871</v>
      </c>
      <c r="AQ13">
        <f t="shared" si="17"/>
        <v>119.65581641174863</v>
      </c>
      <c r="AR13">
        <f t="shared" si="18"/>
        <v>668.19011076655738</v>
      </c>
    </row>
    <row r="14" spans="1:44" x14ac:dyDescent="0.35">
      <c r="A14" t="s">
        <v>2</v>
      </c>
      <c r="B14" t="s">
        <v>3</v>
      </c>
      <c r="C14">
        <f>0.75*D5</f>
        <v>7.5000000000000011E-2</v>
      </c>
      <c r="D14">
        <f>D5</f>
        <v>0.1</v>
      </c>
      <c r="H14">
        <v>11</v>
      </c>
      <c r="I14" cm="1">
        <f t="array" ref="I14:K14">MMULT(I13:K13,$B$4:$D$6)</f>
        <v>538.61511409489935</v>
      </c>
      <c r="J14">
        <v>237.42084249362458</v>
      </c>
      <c r="K14">
        <v>223.96404341147564</v>
      </c>
      <c r="L14">
        <f t="shared" si="0"/>
        <v>1000</v>
      </c>
      <c r="N14" s="6">
        <f t="shared" si="1"/>
        <v>53861.511409489933</v>
      </c>
      <c r="O14" s="6">
        <f t="shared" si="2"/>
        <v>474841.68498724914</v>
      </c>
      <c r="P14" s="6">
        <f t="shared" si="3"/>
        <v>0</v>
      </c>
      <c r="Q14" s="6"/>
      <c r="R14" s="6">
        <f t="shared" si="4"/>
        <v>528703.19639673911</v>
      </c>
      <c r="S14" s="6"/>
      <c r="T14" s="6">
        <f t="shared" si="5"/>
        <v>194008.9891471311</v>
      </c>
      <c r="U14" s="6"/>
      <c r="V14" s="6">
        <f t="shared" si="6"/>
        <v>722712.1855438702</v>
      </c>
      <c r="W14" s="6"/>
      <c r="X14" s="6">
        <f t="shared" si="7"/>
        <v>457.82284698066445</v>
      </c>
      <c r="Y14" s="6">
        <f t="shared" si="8"/>
        <v>130.58146337149353</v>
      </c>
      <c r="Z14" s="6">
        <f t="shared" si="9"/>
        <v>588.40431035215795</v>
      </c>
      <c r="AA14" s="10"/>
      <c r="AB14">
        <v>11</v>
      </c>
      <c r="AC14" s="7" cm="1">
        <f t="array" ref="AC14:AE14">MMULT(AC13:AE13,$B$19:$D$21)</f>
        <v>614.68107690935926</v>
      </c>
      <c r="AD14" s="7">
        <v>227.05270615945062</v>
      </c>
      <c r="AE14" s="7">
        <v>158.26621693119037</v>
      </c>
      <c r="AF14">
        <f t="shared" si="10"/>
        <v>1000</v>
      </c>
      <c r="AH14" s="6">
        <f t="shared" si="11"/>
        <v>61468.107690935925</v>
      </c>
      <c r="AI14" s="6">
        <f t="shared" si="12"/>
        <v>454105.41231890122</v>
      </c>
      <c r="AJ14" s="6">
        <f t="shared" si="13"/>
        <v>515573.52000983711</v>
      </c>
      <c r="AL14" s="6">
        <f t="shared" si="14"/>
        <v>3366935.1322752386</v>
      </c>
      <c r="AN14" s="6">
        <f t="shared" si="15"/>
        <v>3882508.6522850757</v>
      </c>
      <c r="AP14">
        <f t="shared" si="16"/>
        <v>522.47891537295538</v>
      </c>
      <c r="AQ14">
        <f t="shared" si="17"/>
        <v>124.87898838769786</v>
      </c>
      <c r="AR14">
        <f t="shared" si="18"/>
        <v>647.35790376065324</v>
      </c>
    </row>
    <row r="15" spans="1:44" x14ac:dyDescent="0.35">
      <c r="H15">
        <v>12</v>
      </c>
      <c r="I15" cm="1">
        <f t="array" ref="I15:K15">MMULT(I14:K14,$B$4:$D$6)</f>
        <v>506.29820724920535</v>
      </c>
      <c r="J15">
        <v>240.60951394900709</v>
      </c>
      <c r="K15">
        <v>253.0922788017871</v>
      </c>
      <c r="L15">
        <f t="shared" si="0"/>
        <v>1000</v>
      </c>
      <c r="N15" s="6">
        <f t="shared" si="1"/>
        <v>50629.820724920537</v>
      </c>
      <c r="O15" s="6">
        <f t="shared" si="2"/>
        <v>481219.02789801417</v>
      </c>
      <c r="P15" s="6">
        <f t="shared" si="3"/>
        <v>0</v>
      </c>
      <c r="Q15" s="6"/>
      <c r="R15" s="6">
        <f t="shared" si="4"/>
        <v>531848.84862293466</v>
      </c>
      <c r="S15" s="6"/>
      <c r="T15" s="6">
        <f t="shared" si="5"/>
        <v>186726.93029955323</v>
      </c>
      <c r="U15" s="6"/>
      <c r="V15" s="6">
        <f t="shared" si="6"/>
        <v>718575.77892248787</v>
      </c>
      <c r="W15" s="6"/>
      <c r="X15" s="6">
        <f t="shared" si="7"/>
        <v>430.35347616182452</v>
      </c>
      <c r="Y15" s="6">
        <f t="shared" si="8"/>
        <v>132.33523267195392</v>
      </c>
      <c r="Z15" s="6">
        <f t="shared" si="9"/>
        <v>562.68870883377849</v>
      </c>
      <c r="AA15" s="10"/>
      <c r="AB15">
        <v>12</v>
      </c>
      <c r="AC15" s="7" cm="1">
        <f t="array" ref="AC15:AE15">MMULT(AC14:AE14,$B$19:$D$21)</f>
        <v>585.48372575616474</v>
      </c>
      <c r="AD15" s="7">
        <v>234.61099627386619</v>
      </c>
      <c r="AE15" s="7">
        <v>179.90527796996935</v>
      </c>
      <c r="AF15">
        <f t="shared" si="10"/>
        <v>1000</v>
      </c>
      <c r="AH15" s="6">
        <f t="shared" si="11"/>
        <v>58548.372575616471</v>
      </c>
      <c r="AI15" s="6">
        <f t="shared" si="12"/>
        <v>469221.99254773237</v>
      </c>
      <c r="AJ15" s="6">
        <f t="shared" si="13"/>
        <v>527770.36512334889</v>
      </c>
      <c r="AL15" s="6">
        <f t="shared" si="14"/>
        <v>3280378.8881201227</v>
      </c>
      <c r="AN15" s="6">
        <f t="shared" si="15"/>
        <v>3808149.2532434715</v>
      </c>
      <c r="AP15">
        <f t="shared" si="16"/>
        <v>497.66116689274003</v>
      </c>
      <c r="AQ15">
        <f t="shared" si="17"/>
        <v>129.03604795062643</v>
      </c>
      <c r="AR15">
        <f t="shared" si="18"/>
        <v>626.69721484336651</v>
      </c>
    </row>
    <row r="16" spans="1:44" x14ac:dyDescent="0.35">
      <c r="A16" t="s">
        <v>11</v>
      </c>
      <c r="H16">
        <v>13</v>
      </c>
      <c r="I16" cm="1">
        <f t="array" ref="I16:K16">MMULT(I15:K15,$B$4:$D$6)</f>
        <v>475.920314814253</v>
      </c>
      <c r="J16">
        <v>241.86347291656665</v>
      </c>
      <c r="K16">
        <v>282.21621226917989</v>
      </c>
      <c r="L16">
        <f t="shared" si="0"/>
        <v>1000</v>
      </c>
      <c r="N16" s="6">
        <f t="shared" si="1"/>
        <v>47592.0314814253</v>
      </c>
      <c r="O16" s="6">
        <f t="shared" si="2"/>
        <v>483726.9458331333</v>
      </c>
      <c r="P16" s="6">
        <f t="shared" si="3"/>
        <v>0</v>
      </c>
      <c r="Q16" s="6"/>
      <c r="R16" s="6">
        <f t="shared" si="4"/>
        <v>531318.97731455858</v>
      </c>
      <c r="S16" s="6"/>
      <c r="T16" s="6">
        <f t="shared" si="5"/>
        <v>179445.94693270503</v>
      </c>
      <c r="U16" s="6"/>
      <c r="V16" s="6">
        <f t="shared" si="6"/>
        <v>710764.92424726358</v>
      </c>
      <c r="W16" s="6"/>
      <c r="X16" s="6">
        <f t="shared" si="7"/>
        <v>404.53226759211503</v>
      </c>
      <c r="Y16" s="6">
        <f t="shared" si="8"/>
        <v>133.02491010411165</v>
      </c>
      <c r="Z16" s="6">
        <f t="shared" si="9"/>
        <v>537.55717769622674</v>
      </c>
      <c r="AA16" s="10"/>
      <c r="AB16">
        <v>13</v>
      </c>
      <c r="AC16" s="7" cm="1">
        <f t="array" ref="AC16:AE16">MMULT(AC15:AE15,$B$19:$D$21)</f>
        <v>557.6732487827469</v>
      </c>
      <c r="AD16" s="7">
        <v>240.43452058357283</v>
      </c>
      <c r="AE16" s="7">
        <v>201.89223063368055</v>
      </c>
      <c r="AF16">
        <f t="shared" si="10"/>
        <v>1000</v>
      </c>
      <c r="AH16" s="6">
        <f t="shared" si="11"/>
        <v>55767.324878274689</v>
      </c>
      <c r="AI16" s="6">
        <f t="shared" si="12"/>
        <v>480869.04116714565</v>
      </c>
      <c r="AJ16" s="6">
        <f t="shared" si="13"/>
        <v>536636.36604542029</v>
      </c>
      <c r="AL16" s="6">
        <f t="shared" si="14"/>
        <v>3192431.0774652776</v>
      </c>
      <c r="AN16" s="6">
        <f t="shared" si="15"/>
        <v>3729067.4435106982</v>
      </c>
      <c r="AP16">
        <f t="shared" si="16"/>
        <v>474.02226146533485</v>
      </c>
      <c r="AQ16">
        <f t="shared" si="17"/>
        <v>132.23898632096507</v>
      </c>
      <c r="AR16">
        <f t="shared" si="18"/>
        <v>606.26124778629992</v>
      </c>
    </row>
    <row r="17" spans="1:44" x14ac:dyDescent="0.35">
      <c r="A17" s="12" t="s">
        <v>10</v>
      </c>
      <c r="B17" s="12"/>
      <c r="C17" s="12"/>
      <c r="D17" s="12"/>
      <c r="H17">
        <v>14</v>
      </c>
      <c r="I17" cm="1">
        <f t="array" ref="I17:K17">MMULT(I16:K16,$B$4:$D$6)</f>
        <v>447.36509592539778</v>
      </c>
      <c r="J17">
        <v>241.47314136562264</v>
      </c>
      <c r="K17">
        <v>311.1617627089791</v>
      </c>
      <c r="L17">
        <f t="shared" si="0"/>
        <v>1000</v>
      </c>
      <c r="N17" s="6">
        <f t="shared" si="1"/>
        <v>44736.509592539776</v>
      </c>
      <c r="O17" s="6">
        <f t="shared" si="2"/>
        <v>482946.28273124527</v>
      </c>
      <c r="P17" s="6">
        <f t="shared" si="3"/>
        <v>0</v>
      </c>
      <c r="Q17" s="6"/>
      <c r="R17" s="6">
        <f t="shared" si="4"/>
        <v>527682.79232378502</v>
      </c>
      <c r="S17" s="6"/>
      <c r="T17" s="6">
        <f t="shared" si="5"/>
        <v>172209.55932275523</v>
      </c>
      <c r="U17" s="6"/>
      <c r="V17" s="6">
        <f t="shared" si="6"/>
        <v>699892.35164654022</v>
      </c>
      <c r="W17" s="6"/>
      <c r="X17" s="6">
        <f t="shared" si="7"/>
        <v>380.26033153658813</v>
      </c>
      <c r="Y17" s="6">
        <f t="shared" si="8"/>
        <v>132.81022775109247</v>
      </c>
      <c r="Z17" s="6">
        <f t="shared" si="9"/>
        <v>513.07055928768057</v>
      </c>
      <c r="AA17" s="10"/>
      <c r="AB17">
        <v>14</v>
      </c>
      <c r="AC17" s="7" cm="1">
        <f t="array" ref="AC17:AE17">MMULT(AC16:AE16,$B$19:$D$21)</f>
        <v>531.18376946556646</v>
      </c>
      <c r="AD17" s="7">
        <v>244.70886149111476</v>
      </c>
      <c r="AE17" s="7">
        <v>224.10736904331912</v>
      </c>
      <c r="AF17">
        <f t="shared" si="10"/>
        <v>1000</v>
      </c>
      <c r="AH17" s="6">
        <f t="shared" si="11"/>
        <v>53118.376946556644</v>
      </c>
      <c r="AI17" s="6">
        <f t="shared" si="12"/>
        <v>489417.72298222955</v>
      </c>
      <c r="AJ17" s="6">
        <f t="shared" si="13"/>
        <v>542536.09992878616</v>
      </c>
      <c r="AL17" s="6">
        <f t="shared" si="14"/>
        <v>3103570.5238267239</v>
      </c>
      <c r="AN17" s="6">
        <f t="shared" si="15"/>
        <v>3646106.62375551</v>
      </c>
      <c r="AP17">
        <f t="shared" si="16"/>
        <v>451.50620404573147</v>
      </c>
      <c r="AQ17">
        <f t="shared" si="17"/>
        <v>134.58987382011313</v>
      </c>
      <c r="AR17">
        <f t="shared" si="18"/>
        <v>586.09607786584456</v>
      </c>
    </row>
    <row r="18" spans="1:44" x14ac:dyDescent="0.35">
      <c r="B18" t="s">
        <v>1</v>
      </c>
      <c r="C18" t="s">
        <v>2</v>
      </c>
      <c r="D18" t="s">
        <v>3</v>
      </c>
      <c r="E18" t="s">
        <v>12</v>
      </c>
      <c r="H18">
        <v>15</v>
      </c>
      <c r="I18" cm="1">
        <f t="array" ref="I18:K18">MMULT(I17:K17,$B$4:$D$6)</f>
        <v>420.52319016987389</v>
      </c>
      <c r="J18">
        <v>239.69408202533026</v>
      </c>
      <c r="K18">
        <v>339.78272780479534</v>
      </c>
      <c r="L18">
        <f t="shared" si="0"/>
        <v>1000</v>
      </c>
      <c r="N18" s="6">
        <f t="shared" si="1"/>
        <v>42052.319016987385</v>
      </c>
      <c r="O18" s="6">
        <f t="shared" si="2"/>
        <v>479388.1640506605</v>
      </c>
      <c r="P18" s="6">
        <f t="shared" si="3"/>
        <v>0</v>
      </c>
      <c r="Q18" s="6"/>
      <c r="R18" s="6">
        <f t="shared" si="4"/>
        <v>521440.4830676479</v>
      </c>
      <c r="S18" s="6"/>
      <c r="T18" s="6">
        <f t="shared" si="5"/>
        <v>165054.31804880119</v>
      </c>
      <c r="U18" s="6"/>
      <c r="V18" s="6">
        <f t="shared" si="6"/>
        <v>686494.80111644906</v>
      </c>
      <c r="W18" s="6"/>
      <c r="X18" s="6">
        <f t="shared" si="7"/>
        <v>357.44471164439278</v>
      </c>
      <c r="Y18" s="6">
        <f t="shared" si="8"/>
        <v>131.83174511393165</v>
      </c>
      <c r="Z18" s="6">
        <f t="shared" si="9"/>
        <v>489.27645675832446</v>
      </c>
      <c r="AA18" s="10"/>
      <c r="AB18">
        <v>15</v>
      </c>
      <c r="AC18" s="7" cm="1">
        <f t="array" ref="AC18:AE18">MMULT(AC17:AE17,$B$19:$D$21)</f>
        <v>505.95254041595206</v>
      </c>
      <c r="AD18" s="7">
        <v>247.60304765790383</v>
      </c>
      <c r="AE18" s="7">
        <v>246.44441192614448</v>
      </c>
      <c r="AF18">
        <f t="shared" si="10"/>
        <v>1000</v>
      </c>
      <c r="AH18" s="6">
        <f t="shared" si="11"/>
        <v>50595.254041595203</v>
      </c>
      <c r="AI18" s="6">
        <f t="shared" si="12"/>
        <v>495206.09531580767</v>
      </c>
      <c r="AJ18" s="6">
        <f t="shared" si="13"/>
        <v>545801.34935740288</v>
      </c>
      <c r="AL18" s="6">
        <f t="shared" si="14"/>
        <v>3014222.352295422</v>
      </c>
      <c r="AN18" s="6">
        <f t="shared" si="15"/>
        <v>3560023.7016528249</v>
      </c>
      <c r="AP18">
        <f t="shared" si="16"/>
        <v>430.05965935355925</v>
      </c>
      <c r="AQ18">
        <f t="shared" si="17"/>
        <v>136.1816762118471</v>
      </c>
      <c r="AR18">
        <f t="shared" si="18"/>
        <v>566.24133556540642</v>
      </c>
    </row>
    <row r="19" spans="1:44" x14ac:dyDescent="0.35">
      <c r="A19" t="s">
        <v>1</v>
      </c>
      <c r="B19">
        <v>0.95250000000000001</v>
      </c>
      <c r="C19">
        <v>0.04</v>
      </c>
      <c r="D19">
        <v>7.4999999999999997E-3</v>
      </c>
      <c r="H19">
        <v>16</v>
      </c>
      <c r="I19" cm="1">
        <f t="array" ref="I19:K19">MMULT(I18:K18,$B$4:$D$6)</f>
        <v>395.29179875968146</v>
      </c>
      <c r="J19">
        <v>236.75083333129092</v>
      </c>
      <c r="K19">
        <v>367.95736790902708</v>
      </c>
      <c r="L19">
        <f t="shared" si="0"/>
        <v>1000</v>
      </c>
      <c r="N19" s="6">
        <f t="shared" si="1"/>
        <v>39529.179875968148</v>
      </c>
      <c r="O19" s="6">
        <f t="shared" si="2"/>
        <v>473501.66666258185</v>
      </c>
      <c r="P19" s="6">
        <f t="shared" si="3"/>
        <v>0</v>
      </c>
      <c r="Q19" s="6"/>
      <c r="R19" s="6">
        <f t="shared" si="4"/>
        <v>513030.84653854999</v>
      </c>
      <c r="S19" s="6"/>
      <c r="T19" s="6">
        <f t="shared" si="5"/>
        <v>158010.65802274324</v>
      </c>
      <c r="U19" s="6"/>
      <c r="V19" s="6">
        <f t="shared" si="6"/>
        <v>671041.50456129317</v>
      </c>
      <c r="W19" s="6"/>
      <c r="X19" s="6">
        <f t="shared" si="7"/>
        <v>335.99802894572923</v>
      </c>
      <c r="Y19" s="6">
        <f t="shared" si="8"/>
        <v>130.21295833221001</v>
      </c>
      <c r="Z19" s="6">
        <f t="shared" si="9"/>
        <v>466.21098727793924</v>
      </c>
      <c r="AA19" s="10"/>
      <c r="AB19">
        <v>16</v>
      </c>
      <c r="AC19" s="7" cm="1">
        <f t="array" ref="AC19:AE19">MMULT(AC18:AE18,$B$19:$D$21)</f>
        <v>481.91979474619433</v>
      </c>
      <c r="AD19" s="7">
        <v>249.27092070019916</v>
      </c>
      <c r="AE19" s="7">
        <v>268.80928455360691</v>
      </c>
      <c r="AF19">
        <f t="shared" si="10"/>
        <v>1000</v>
      </c>
      <c r="AH19" s="6">
        <f t="shared" si="11"/>
        <v>48191.979474619431</v>
      </c>
      <c r="AI19" s="6">
        <f t="shared" si="12"/>
        <v>498541.84140039829</v>
      </c>
      <c r="AJ19" s="6">
        <f t="shared" si="13"/>
        <v>546733.82087501767</v>
      </c>
      <c r="AL19" s="6">
        <f t="shared" si="14"/>
        <v>2924762.8617855725</v>
      </c>
      <c r="AN19" s="6">
        <f t="shared" si="15"/>
        <v>3471496.6826605899</v>
      </c>
      <c r="AP19">
        <f t="shared" si="16"/>
        <v>409.63182553426515</v>
      </c>
      <c r="AQ19">
        <f t="shared" si="17"/>
        <v>137.09900638510953</v>
      </c>
      <c r="AR19">
        <f t="shared" si="18"/>
        <v>546.73083191937462</v>
      </c>
    </row>
    <row r="20" spans="1:44" x14ac:dyDescent="0.35">
      <c r="A20" t="s">
        <v>4</v>
      </c>
      <c r="B20">
        <v>0</v>
      </c>
      <c r="C20">
        <v>0.92500000000000004</v>
      </c>
      <c r="D20">
        <v>7.4999999999999997E-2</v>
      </c>
      <c r="H20">
        <v>17</v>
      </c>
      <c r="I20" cm="1">
        <f t="array" ref="I20:K20">MMULT(I19:K19,$B$4:$D$6)</f>
        <v>371.57429083410057</v>
      </c>
      <c r="J20">
        <v>232.84033993614591</v>
      </c>
      <c r="K20">
        <v>395.58536922975298</v>
      </c>
      <c r="L20">
        <f t="shared" si="0"/>
        <v>1000</v>
      </c>
      <c r="N20" s="6">
        <f t="shared" si="1"/>
        <v>37157.429083410054</v>
      </c>
      <c r="O20" s="6">
        <f t="shared" si="2"/>
        <v>465680.6798722918</v>
      </c>
      <c r="P20" s="6">
        <f t="shared" si="3"/>
        <v>0</v>
      </c>
      <c r="Q20" s="6"/>
      <c r="R20" s="6">
        <f t="shared" si="4"/>
        <v>502838.10895570187</v>
      </c>
      <c r="S20" s="6"/>
      <c r="T20" s="6">
        <f t="shared" si="5"/>
        <v>151103.65769256174</v>
      </c>
      <c r="U20" s="6"/>
      <c r="V20" s="6">
        <f t="shared" si="6"/>
        <v>653941.76664826367</v>
      </c>
      <c r="W20" s="6"/>
      <c r="X20" s="6">
        <f t="shared" si="7"/>
        <v>315.83814720898545</v>
      </c>
      <c r="Y20" s="6">
        <f t="shared" si="8"/>
        <v>128.06218696488025</v>
      </c>
      <c r="Z20" s="6">
        <f t="shared" si="9"/>
        <v>443.9003341738657</v>
      </c>
      <c r="AA20" s="10"/>
      <c r="AB20">
        <v>17</v>
      </c>
      <c r="AC20" s="7" cm="1">
        <f t="array" ref="AC20:AE20">MMULT(AC19:AE19,$B$19:$D$21)</f>
        <v>459.02860449575013</v>
      </c>
      <c r="AD20" s="7">
        <v>249.85239343753202</v>
      </c>
      <c r="AE20" s="7">
        <v>291.11900206671828</v>
      </c>
      <c r="AF20">
        <f t="shared" si="10"/>
        <v>1000</v>
      </c>
      <c r="AH20" s="6">
        <f t="shared" si="11"/>
        <v>45902.860449575011</v>
      </c>
      <c r="AI20" s="6">
        <f t="shared" si="12"/>
        <v>499704.78687506402</v>
      </c>
      <c r="AJ20" s="6">
        <f t="shared" si="13"/>
        <v>545607.64732463902</v>
      </c>
      <c r="AL20" s="6">
        <f t="shared" si="14"/>
        <v>2835523.9917331268</v>
      </c>
      <c r="AN20" s="6">
        <f t="shared" si="15"/>
        <v>3381131.6390577657</v>
      </c>
      <c r="AP20">
        <f t="shared" si="16"/>
        <v>390.17431382138761</v>
      </c>
      <c r="AQ20">
        <f t="shared" si="17"/>
        <v>137.41881639064263</v>
      </c>
      <c r="AR20">
        <f t="shared" si="18"/>
        <v>527.59313021203025</v>
      </c>
    </row>
    <row r="21" spans="1:44" x14ac:dyDescent="0.35">
      <c r="A21" t="s">
        <v>3</v>
      </c>
      <c r="B21">
        <v>0</v>
      </c>
      <c r="C21">
        <v>0</v>
      </c>
      <c r="D21">
        <v>1</v>
      </c>
      <c r="H21">
        <v>18</v>
      </c>
      <c r="I21" cm="1">
        <f t="array" ref="I21:K21">MMULT(I20:K20,$B$4:$D$6)</f>
        <v>349.27983338405448</v>
      </c>
      <c r="J21">
        <v>228.13502048423635</v>
      </c>
      <c r="K21">
        <v>422.5851461317086</v>
      </c>
      <c r="L21">
        <f t="shared" si="0"/>
        <v>1000</v>
      </c>
      <c r="N21" s="6">
        <f t="shared" si="1"/>
        <v>34927.983338405451</v>
      </c>
      <c r="O21" s="6">
        <f t="shared" si="2"/>
        <v>456270.04096847272</v>
      </c>
      <c r="P21" s="6">
        <f t="shared" si="3"/>
        <v>0</v>
      </c>
      <c r="Q21" s="6"/>
      <c r="R21" s="6">
        <f t="shared" si="4"/>
        <v>491198.02430687816</v>
      </c>
      <c r="S21" s="6"/>
      <c r="T21" s="6">
        <f t="shared" si="5"/>
        <v>144353.71346707284</v>
      </c>
      <c r="U21" s="6"/>
      <c r="V21" s="6">
        <f t="shared" si="6"/>
        <v>635551.73777395103</v>
      </c>
      <c r="W21" s="6"/>
      <c r="X21" s="6">
        <f t="shared" si="7"/>
        <v>296.88785837644633</v>
      </c>
      <c r="Y21" s="6">
        <f t="shared" si="8"/>
        <v>125.47426126633</v>
      </c>
      <c r="Z21" s="6">
        <f t="shared" si="9"/>
        <v>422.36211964277635</v>
      </c>
      <c r="AA21" s="10"/>
      <c r="AB21">
        <v>18</v>
      </c>
      <c r="AC21" s="7" cm="1">
        <f t="array" ref="AC21:AE21">MMULT(AC20:AE20,$B$19:$D$21)</f>
        <v>437.22474578220198</v>
      </c>
      <c r="AD21" s="7">
        <v>249.47460810954712</v>
      </c>
      <c r="AE21" s="7">
        <v>313.30064610825133</v>
      </c>
      <c r="AF21">
        <f t="shared" si="10"/>
        <v>1000</v>
      </c>
      <c r="AH21" s="6">
        <f t="shared" si="11"/>
        <v>43722.474578220201</v>
      </c>
      <c r="AI21" s="6">
        <f t="shared" si="12"/>
        <v>498949.21621909423</v>
      </c>
      <c r="AJ21" s="6">
        <f t="shared" si="13"/>
        <v>542671.6907973144</v>
      </c>
      <c r="AL21" s="6">
        <f t="shared" si="14"/>
        <v>2746797.4155669943</v>
      </c>
      <c r="AN21" s="6">
        <f t="shared" si="15"/>
        <v>3289469.1063643089</v>
      </c>
      <c r="AP21">
        <f t="shared" si="16"/>
        <v>371.64103391487168</v>
      </c>
      <c r="AQ21">
        <f t="shared" si="17"/>
        <v>137.21103446025091</v>
      </c>
      <c r="AR21">
        <f t="shared" si="18"/>
        <v>508.8520683751226</v>
      </c>
    </row>
    <row r="22" spans="1:44" x14ac:dyDescent="0.35">
      <c r="H22">
        <v>19</v>
      </c>
      <c r="I22" cm="1">
        <f t="array" ref="I22:K22">MMULT(I21:K21,$B$4:$D$6)</f>
        <v>328.32304338101119</v>
      </c>
      <c r="J22">
        <v>222.78551010501545</v>
      </c>
      <c r="K22">
        <v>448.89144651397277</v>
      </c>
      <c r="L22">
        <f t="shared" si="0"/>
        <v>1000</v>
      </c>
      <c r="N22" s="6">
        <f t="shared" si="1"/>
        <v>32832.304338101116</v>
      </c>
      <c r="O22" s="6">
        <f t="shared" si="2"/>
        <v>445571.0202100309</v>
      </c>
      <c r="P22" s="6">
        <f t="shared" si="3"/>
        <v>0</v>
      </c>
      <c r="Q22" s="6"/>
      <c r="R22" s="6">
        <f t="shared" si="4"/>
        <v>478403.32454813202</v>
      </c>
      <c r="S22" s="6"/>
      <c r="T22" s="6">
        <f t="shared" si="5"/>
        <v>137777.13837150679</v>
      </c>
      <c r="U22" s="6"/>
      <c r="V22" s="6">
        <f t="shared" si="6"/>
        <v>616180.46291963884</v>
      </c>
      <c r="W22" s="6"/>
      <c r="X22" s="6">
        <f t="shared" si="7"/>
        <v>279.07458687385952</v>
      </c>
      <c r="Y22" s="6">
        <f t="shared" si="8"/>
        <v>122.5320305577585</v>
      </c>
      <c r="Z22" s="6">
        <f t="shared" si="9"/>
        <v>401.60661743161802</v>
      </c>
      <c r="AA22" s="10"/>
      <c r="AB22">
        <v>19</v>
      </c>
      <c r="AC22" s="7" cm="1">
        <f t="array" ref="AC22:AE22">MMULT(AC21:AE21,$B$19:$D$21)</f>
        <v>416.45657035754738</v>
      </c>
      <c r="AD22" s="7">
        <v>248.25300233261919</v>
      </c>
      <c r="AE22" s="7">
        <v>335.29042730983389</v>
      </c>
      <c r="AF22">
        <f t="shared" si="10"/>
        <v>1000</v>
      </c>
      <c r="AH22" s="6">
        <f t="shared" si="11"/>
        <v>41645.657035754739</v>
      </c>
      <c r="AI22" s="6">
        <f t="shared" si="12"/>
        <v>496506.00466523838</v>
      </c>
      <c r="AJ22" s="6">
        <f t="shared" si="13"/>
        <v>538151.66170099308</v>
      </c>
      <c r="AL22" s="6">
        <f t="shared" si="14"/>
        <v>2658838.2907606647</v>
      </c>
      <c r="AN22" s="6">
        <f t="shared" si="15"/>
        <v>3196989.952461658</v>
      </c>
      <c r="AP22">
        <f t="shared" si="16"/>
        <v>353.98808480391529</v>
      </c>
      <c r="AQ22">
        <f t="shared" si="17"/>
        <v>136.53915128294057</v>
      </c>
      <c r="AR22">
        <f t="shared" si="18"/>
        <v>490.52723608685585</v>
      </c>
    </row>
    <row r="23" spans="1:44" x14ac:dyDescent="0.35">
      <c r="A23" s="1" t="s">
        <v>16</v>
      </c>
      <c r="H23">
        <v>20</v>
      </c>
      <c r="I23" cm="1">
        <f t="array" ref="I23:K23">MMULT(I22:K22,$B$4:$D$6)</f>
        <v>308.62366077815051</v>
      </c>
      <c r="J23">
        <v>216.92311126356446</v>
      </c>
      <c r="K23">
        <v>474.4532279582844</v>
      </c>
      <c r="L23">
        <f t="shared" si="0"/>
        <v>1000</v>
      </c>
      <c r="N23" s="6">
        <f t="shared" si="1"/>
        <v>30862.366077815052</v>
      </c>
      <c r="O23" s="6">
        <f t="shared" si="2"/>
        <v>433846.22252712894</v>
      </c>
      <c r="P23" s="6">
        <f t="shared" si="3"/>
        <v>0</v>
      </c>
      <c r="Q23" s="6"/>
      <c r="R23" s="6">
        <f t="shared" si="4"/>
        <v>464708.588604944</v>
      </c>
      <c r="S23" s="6"/>
      <c r="T23" s="6">
        <f t="shared" si="5"/>
        <v>131386.69301042889</v>
      </c>
      <c r="U23" s="6"/>
      <c r="V23" s="6">
        <f t="shared" si="6"/>
        <v>596095.28161537286</v>
      </c>
      <c r="W23" s="6"/>
      <c r="X23" s="6">
        <f t="shared" si="7"/>
        <v>262.33011166142791</v>
      </c>
      <c r="Y23" s="6">
        <f t="shared" si="8"/>
        <v>119.30771119496046</v>
      </c>
      <c r="Z23" s="6">
        <f t="shared" si="9"/>
        <v>381.63782285638837</v>
      </c>
      <c r="AA23" s="10"/>
      <c r="AB23">
        <v>20</v>
      </c>
      <c r="AC23" s="7" cm="1">
        <f t="array" ref="AC23:AE23">MMULT(AC22:AE22,$B$19:$D$21)</f>
        <v>396.67488326556389</v>
      </c>
      <c r="AD23" s="7">
        <v>246.29228997197467</v>
      </c>
      <c r="AE23" s="7">
        <v>357.03282676246192</v>
      </c>
      <c r="AF23">
        <f t="shared" si="10"/>
        <v>1000</v>
      </c>
      <c r="AH23" s="6">
        <f t="shared" si="11"/>
        <v>39667.488326556391</v>
      </c>
      <c r="AI23" s="6">
        <f t="shared" si="12"/>
        <v>492584.57994394936</v>
      </c>
      <c r="AJ23" s="6">
        <f t="shared" si="13"/>
        <v>532252.06827050576</v>
      </c>
      <c r="AL23" s="6">
        <f t="shared" si="14"/>
        <v>2571868.6929501523</v>
      </c>
      <c r="AN23" s="6">
        <f t="shared" si="15"/>
        <v>3104120.7612206582</v>
      </c>
      <c r="AP23">
        <f t="shared" si="16"/>
        <v>337.1736507757293</v>
      </c>
      <c r="AQ23">
        <f t="shared" si="17"/>
        <v>135.46075948458608</v>
      </c>
      <c r="AR23">
        <f t="shared" si="18"/>
        <v>472.63441026031535</v>
      </c>
    </row>
    <row r="24" spans="1:44" x14ac:dyDescent="0.35">
      <c r="H24">
        <v>21</v>
      </c>
      <c r="I24" cm="1">
        <f t="array" ref="I24:K24">MMULT(I23:K23,$B$4:$D$6)</f>
        <v>290.10624113146145</v>
      </c>
      <c r="J24">
        <v>210.66198317611557</v>
      </c>
      <c r="K24">
        <v>499.23177569242233</v>
      </c>
      <c r="L24">
        <f t="shared" si="0"/>
        <v>1000</v>
      </c>
      <c r="N24" s="6">
        <f t="shared" si="1"/>
        <v>29010.624113146143</v>
      </c>
      <c r="O24" s="6">
        <f t="shared" si="2"/>
        <v>421323.96635223116</v>
      </c>
      <c r="P24" s="6">
        <f t="shared" si="3"/>
        <v>0</v>
      </c>
      <c r="Q24" s="6"/>
      <c r="R24" s="6">
        <f t="shared" si="4"/>
        <v>450334.59046537732</v>
      </c>
      <c r="S24" s="6"/>
      <c r="T24" s="6">
        <f t="shared" si="5"/>
        <v>125192.05607689441</v>
      </c>
      <c r="U24" s="6"/>
      <c r="V24" s="6">
        <f t="shared" si="6"/>
        <v>575526.64654227172</v>
      </c>
      <c r="W24" s="6"/>
      <c r="X24" s="6">
        <f t="shared" si="7"/>
        <v>246.59030496174222</v>
      </c>
      <c r="Y24" s="6">
        <f t="shared" si="8"/>
        <v>115.86409074686357</v>
      </c>
      <c r="Z24" s="6">
        <f t="shared" si="9"/>
        <v>362.45439570860577</v>
      </c>
      <c r="AA24" s="10"/>
      <c r="AB24">
        <v>21</v>
      </c>
      <c r="AC24" s="7" cm="1">
        <f t="array" ref="AC24:AE24">MMULT(AC23:AE23,$B$19:$D$21)</f>
        <v>377.8328263104496</v>
      </c>
      <c r="AD24" s="7">
        <v>243.68736355469915</v>
      </c>
      <c r="AE24" s="7">
        <v>378.47981013485173</v>
      </c>
      <c r="AF24">
        <f t="shared" si="10"/>
        <v>1000</v>
      </c>
      <c r="AH24" s="6">
        <f t="shared" si="11"/>
        <v>37783.28263104496</v>
      </c>
      <c r="AI24" s="6">
        <f t="shared" si="12"/>
        <v>487374.72710939829</v>
      </c>
      <c r="AJ24" s="6">
        <f t="shared" si="13"/>
        <v>525158.0097404432</v>
      </c>
      <c r="AL24" s="6">
        <f t="shared" si="14"/>
        <v>2486080.7594605931</v>
      </c>
      <c r="AN24" s="6">
        <f t="shared" si="15"/>
        <v>3011238.7692010365</v>
      </c>
      <c r="AP24">
        <f t="shared" si="16"/>
        <v>321.15790236388216</v>
      </c>
      <c r="AQ24">
        <f t="shared" si="17"/>
        <v>134.02804995508455</v>
      </c>
      <c r="AR24">
        <f t="shared" si="18"/>
        <v>455.18595231896671</v>
      </c>
    </row>
    <row r="25" spans="1:44" x14ac:dyDescent="0.35">
      <c r="A25" s="2" t="s">
        <v>13</v>
      </c>
      <c r="B25" s="2" t="s">
        <v>14</v>
      </c>
      <c r="C25" s="2" t="s">
        <v>15</v>
      </c>
      <c r="H25">
        <v>22</v>
      </c>
      <c r="I25" cm="1">
        <f t="array" ref="I25:K25">MMULT(I24:K24,$B$4:$D$6)</f>
        <v>272.69986666357374</v>
      </c>
      <c r="J25">
        <v>204.10109691507708</v>
      </c>
      <c r="K25">
        <v>523.19903642134852</v>
      </c>
      <c r="L25">
        <f t="shared" si="0"/>
        <v>1000</v>
      </c>
      <c r="N25" s="6">
        <f t="shared" si="1"/>
        <v>27269.986666357374</v>
      </c>
      <c r="O25" s="6">
        <f t="shared" si="2"/>
        <v>408202.19383015414</v>
      </c>
      <c r="P25" s="6">
        <f t="shared" si="3"/>
        <v>0</v>
      </c>
      <c r="Q25" s="6"/>
      <c r="R25" s="6">
        <f t="shared" si="4"/>
        <v>435472.18049651152</v>
      </c>
      <c r="S25" s="6"/>
      <c r="T25" s="6">
        <f t="shared" si="5"/>
        <v>119200.24089466287</v>
      </c>
      <c r="U25" s="6"/>
      <c r="V25" s="6">
        <f t="shared" si="6"/>
        <v>554672.42139117443</v>
      </c>
      <c r="W25" s="6"/>
      <c r="X25" s="6">
        <f t="shared" si="7"/>
        <v>231.79488666403768</v>
      </c>
      <c r="Y25" s="6">
        <f t="shared" si="8"/>
        <v>112.2556033032924</v>
      </c>
      <c r="Z25" s="6">
        <f t="shared" si="9"/>
        <v>344.05048996733007</v>
      </c>
      <c r="AA25" s="10"/>
      <c r="AB25">
        <v>22</v>
      </c>
      <c r="AC25" s="7" cm="1">
        <f t="array" ref="AC25:AE25">MMULT(AC24:AE24,$B$19:$D$21)</f>
        <v>359.88576706070324</v>
      </c>
      <c r="AD25" s="7">
        <v>240.5241243405147</v>
      </c>
      <c r="AE25" s="7">
        <v>399.59010859878254</v>
      </c>
      <c r="AF25">
        <f t="shared" si="10"/>
        <v>1000</v>
      </c>
      <c r="AH25" s="6">
        <f t="shared" si="11"/>
        <v>35988.576706070322</v>
      </c>
      <c r="AI25" s="6">
        <f t="shared" si="12"/>
        <v>481048.24868102942</v>
      </c>
      <c r="AJ25" s="6">
        <f t="shared" si="13"/>
        <v>517036.82538709976</v>
      </c>
      <c r="AL25" s="6">
        <f t="shared" si="14"/>
        <v>2401639.5656048697</v>
      </c>
      <c r="AN25" s="6">
        <f t="shared" si="15"/>
        <v>2918676.3909919695</v>
      </c>
      <c r="AP25">
        <f t="shared" si="16"/>
        <v>305.90290200159774</v>
      </c>
      <c r="AQ25">
        <f t="shared" si="17"/>
        <v>132.2882683872831</v>
      </c>
      <c r="AR25">
        <f t="shared" si="18"/>
        <v>438.19117038888083</v>
      </c>
    </row>
    <row r="26" spans="1:44" x14ac:dyDescent="0.35">
      <c r="A26" s="2" t="s">
        <v>1</v>
      </c>
      <c r="B26" s="3">
        <v>100</v>
      </c>
      <c r="C26" s="3">
        <v>0.85</v>
      </c>
      <c r="H26">
        <v>23</v>
      </c>
      <c r="I26" cm="1">
        <f t="array" ref="I26:K26">MMULT(I25:K25,$B$4:$D$6)</f>
        <v>256.33787466375929</v>
      </c>
      <c r="J26">
        <v>197.32598055674808</v>
      </c>
      <c r="K26">
        <v>546.33614477949197</v>
      </c>
      <c r="L26">
        <f t="shared" si="0"/>
        <v>1000</v>
      </c>
      <c r="N26" s="6">
        <f t="shared" si="1"/>
        <v>25633.787466375928</v>
      </c>
      <c r="O26" s="6">
        <f t="shared" si="2"/>
        <v>394651.96111349616</v>
      </c>
      <c r="P26" s="6">
        <f t="shared" si="3"/>
        <v>0</v>
      </c>
      <c r="Q26" s="6"/>
      <c r="R26" s="6">
        <f t="shared" si="4"/>
        <v>420285.74857987207</v>
      </c>
      <c r="S26" s="6"/>
      <c r="T26" s="6">
        <f t="shared" si="5"/>
        <v>113415.963805127</v>
      </c>
      <c r="U26" s="6"/>
      <c r="V26" s="6">
        <f t="shared" si="6"/>
        <v>533701.71238499903</v>
      </c>
      <c r="W26" s="6"/>
      <c r="X26" s="6">
        <f t="shared" si="7"/>
        <v>217.88719346419541</v>
      </c>
      <c r="Y26" s="6">
        <f t="shared" si="8"/>
        <v>108.52928930621145</v>
      </c>
      <c r="Z26" s="6">
        <f t="shared" si="9"/>
        <v>326.41648277040684</v>
      </c>
      <c r="AA26" s="10"/>
      <c r="AB26">
        <v>23</v>
      </c>
      <c r="AC26" s="7" cm="1">
        <f t="array" ref="AC26:AE26">MMULT(AC25:AE25,$B$19:$D$21)</f>
        <v>342.79119312531986</v>
      </c>
      <c r="AD26" s="7">
        <v>236.88024569740423</v>
      </c>
      <c r="AE26" s="7">
        <v>420.32856117727641</v>
      </c>
      <c r="AF26">
        <f t="shared" si="10"/>
        <v>1000</v>
      </c>
      <c r="AH26" s="6">
        <f t="shared" si="11"/>
        <v>34279.119312531984</v>
      </c>
      <c r="AI26" s="6">
        <f t="shared" si="12"/>
        <v>473760.49139480846</v>
      </c>
      <c r="AJ26" s="6">
        <f t="shared" si="13"/>
        <v>508039.61070734041</v>
      </c>
      <c r="AL26" s="6">
        <f t="shared" si="14"/>
        <v>2318685.7552908943</v>
      </c>
      <c r="AN26" s="6">
        <f t="shared" si="15"/>
        <v>2826725.3659982346</v>
      </c>
      <c r="AP26">
        <f t="shared" si="16"/>
        <v>291.3725141565219</v>
      </c>
      <c r="AQ26">
        <f t="shared" si="17"/>
        <v>130.28413513357233</v>
      </c>
      <c r="AR26">
        <f t="shared" si="18"/>
        <v>421.65664929009426</v>
      </c>
    </row>
    <row r="27" spans="1:44" x14ac:dyDescent="0.35">
      <c r="A27" s="2" t="s">
        <v>2</v>
      </c>
      <c r="B27" s="3">
        <v>2000</v>
      </c>
      <c r="C27" s="3">
        <v>0.55000000000000004</v>
      </c>
      <c r="H27">
        <v>24</v>
      </c>
      <c r="I27" cm="1">
        <f t="array" ref="I27:K27">MMULT(I26:K26,$B$4:$D$6)</f>
        <v>240.95760218393372</v>
      </c>
      <c r="J27">
        <v>190.41027623426123</v>
      </c>
      <c r="K27">
        <v>568.63212158180443</v>
      </c>
      <c r="L27">
        <f t="shared" si="0"/>
        <v>1000</v>
      </c>
      <c r="N27" s="6">
        <f t="shared" si="1"/>
        <v>24095.76021839337</v>
      </c>
      <c r="O27" s="6">
        <f t="shared" si="2"/>
        <v>380820.55246852245</v>
      </c>
      <c r="P27" s="6">
        <f t="shared" si="3"/>
        <v>0</v>
      </c>
      <c r="Q27" s="6"/>
      <c r="R27" s="6">
        <f t="shared" si="4"/>
        <v>404916.3126869158</v>
      </c>
      <c r="S27" s="6"/>
      <c r="T27" s="6">
        <f t="shared" si="5"/>
        <v>107841.9696045489</v>
      </c>
      <c r="U27" s="6"/>
      <c r="V27" s="6">
        <f t="shared" si="6"/>
        <v>512758.28229146468</v>
      </c>
      <c r="W27" s="6"/>
      <c r="X27" s="6">
        <f t="shared" si="7"/>
        <v>204.81396185634367</v>
      </c>
      <c r="Y27" s="6">
        <f t="shared" si="8"/>
        <v>104.72565192884369</v>
      </c>
      <c r="Z27" s="6">
        <f t="shared" si="9"/>
        <v>309.53961378518738</v>
      </c>
      <c r="AA27" s="10"/>
      <c r="AB27">
        <v>24</v>
      </c>
      <c r="AC27" s="7" cm="1">
        <f t="array" ref="AC27:AE27">MMULT(AC26:AE26,$B$19:$D$21)</f>
        <v>326.50861145186718</v>
      </c>
      <c r="AD27" s="7">
        <v>232.82587499511172</v>
      </c>
      <c r="AE27" s="7">
        <v>440.66551355302164</v>
      </c>
      <c r="AF27">
        <f t="shared" si="10"/>
        <v>1000</v>
      </c>
      <c r="AH27" s="6">
        <f t="shared" si="11"/>
        <v>32650.861145186718</v>
      </c>
      <c r="AI27" s="6">
        <f t="shared" si="12"/>
        <v>465651.74999022344</v>
      </c>
      <c r="AJ27" s="6">
        <f t="shared" si="13"/>
        <v>498302.61113541014</v>
      </c>
      <c r="AL27" s="6">
        <f t="shared" si="14"/>
        <v>2237337.9457879136</v>
      </c>
      <c r="AN27" s="6">
        <f t="shared" si="15"/>
        <v>2735640.5569233238</v>
      </c>
      <c r="AP27">
        <f t="shared" si="16"/>
        <v>277.53231973408708</v>
      </c>
      <c r="AQ27">
        <f t="shared" si="17"/>
        <v>128.05423124731146</v>
      </c>
      <c r="AR27">
        <f t="shared" si="18"/>
        <v>405.58655098139855</v>
      </c>
    </row>
    <row r="28" spans="1:44" x14ac:dyDescent="0.35">
      <c r="A28" s="2" t="s">
        <v>3</v>
      </c>
      <c r="B28" s="3">
        <v>0</v>
      </c>
      <c r="C28" s="3">
        <v>0</v>
      </c>
      <c r="H28">
        <v>25</v>
      </c>
      <c r="I28" cm="1">
        <f t="array" ref="I28:K28">MMULT(I27:K27,$B$4:$D$6)</f>
        <v>226.50014605289769</v>
      </c>
      <c r="J28">
        <v>183.4171287200318</v>
      </c>
      <c r="K28">
        <v>590.08272522706989</v>
      </c>
      <c r="L28">
        <f t="shared" si="0"/>
        <v>1000</v>
      </c>
      <c r="N28" s="6">
        <f t="shared" si="1"/>
        <v>22650.014605289769</v>
      </c>
      <c r="O28" s="6">
        <f t="shared" si="2"/>
        <v>366834.25744006358</v>
      </c>
      <c r="P28" s="6">
        <f t="shared" si="3"/>
        <v>0</v>
      </c>
      <c r="Q28" s="6"/>
      <c r="R28" s="6">
        <f t="shared" si="4"/>
        <v>389484.27204535337</v>
      </c>
      <c r="S28" s="6"/>
      <c r="T28" s="6">
        <f t="shared" si="5"/>
        <v>102479.31869323253</v>
      </c>
      <c r="U28" s="6"/>
      <c r="V28" s="6">
        <f t="shared" si="6"/>
        <v>491963.59073858592</v>
      </c>
      <c r="W28" s="6"/>
      <c r="X28" s="6">
        <f t="shared" si="7"/>
        <v>192.52512414496303</v>
      </c>
      <c r="Y28" s="6">
        <f t="shared" si="8"/>
        <v>100.8794207960175</v>
      </c>
      <c r="Z28" s="6">
        <f t="shared" si="9"/>
        <v>293.40454494098054</v>
      </c>
      <c r="AA28" s="10"/>
      <c r="AB28">
        <v>25</v>
      </c>
      <c r="AC28" s="7" cm="1">
        <f t="array" ref="AC28:AE28">MMULT(AC27:AE27,$B$19:$D$21)</f>
        <v>310.9994524079035</v>
      </c>
      <c r="AD28" s="7">
        <v>228.42427882855304</v>
      </c>
      <c r="AE28" s="7">
        <v>460.57626876354402</v>
      </c>
      <c r="AF28">
        <f t="shared" si="10"/>
        <v>1000</v>
      </c>
      <c r="AH28" s="6">
        <f t="shared" si="11"/>
        <v>31099.945240790352</v>
      </c>
      <c r="AI28" s="6">
        <f t="shared" si="12"/>
        <v>456848.55765710608</v>
      </c>
      <c r="AJ28" s="6">
        <f t="shared" si="13"/>
        <v>487948.50289789645</v>
      </c>
      <c r="AL28" s="6">
        <f t="shared" si="14"/>
        <v>2157694.9249458238</v>
      </c>
      <c r="AN28" s="6">
        <f t="shared" si="15"/>
        <v>2645643.4278437202</v>
      </c>
      <c r="AP28">
        <f t="shared" si="16"/>
        <v>264.34953454671796</v>
      </c>
      <c r="AQ28">
        <f t="shared" si="17"/>
        <v>125.63335335570419</v>
      </c>
      <c r="AR28">
        <f t="shared" si="18"/>
        <v>389.98288790242214</v>
      </c>
    </row>
    <row r="29" spans="1:44" x14ac:dyDescent="0.35">
      <c r="H29">
        <v>26</v>
      </c>
      <c r="I29" cm="1">
        <f t="array" ref="I29:K29">MMULT(I28:K28,$B$4:$D$6)</f>
        <v>212.91013728972382</v>
      </c>
      <c r="J29">
        <v>176.4004231506735</v>
      </c>
      <c r="K29">
        <v>610.68943955960208</v>
      </c>
      <c r="L29">
        <f t="shared" si="0"/>
        <v>1000</v>
      </c>
      <c r="N29" s="6">
        <f t="shared" si="1"/>
        <v>21291.013728972383</v>
      </c>
      <c r="O29" s="6">
        <f t="shared" si="2"/>
        <v>352800.84630134702</v>
      </c>
      <c r="P29" s="6">
        <f t="shared" si="3"/>
        <v>0</v>
      </c>
      <c r="Q29" s="6"/>
      <c r="R29" s="6">
        <f t="shared" si="4"/>
        <v>374091.86003031943</v>
      </c>
      <c r="S29" s="6"/>
      <c r="T29" s="6">
        <f t="shared" si="5"/>
        <v>97327.640110099484</v>
      </c>
      <c r="U29" s="6"/>
      <c r="V29" s="6">
        <f t="shared" si="6"/>
        <v>471419.50014041888</v>
      </c>
      <c r="W29" s="6"/>
      <c r="X29" s="6">
        <f t="shared" si="7"/>
        <v>180.97361669626525</v>
      </c>
      <c r="Y29" s="6">
        <f t="shared" si="8"/>
        <v>97.02023273287044</v>
      </c>
      <c r="Z29" s="6">
        <f t="shared" si="9"/>
        <v>277.99384942913571</v>
      </c>
      <c r="AA29" s="10"/>
      <c r="AB29">
        <v>26</v>
      </c>
      <c r="AC29" s="7" cm="1">
        <f t="array" ref="AC29:AE29">MMULT(AC28:AE28,$B$19:$D$21)</f>
        <v>296.22697841852812</v>
      </c>
      <c r="AD29" s="7">
        <v>223.7324360127277</v>
      </c>
      <c r="AE29" s="7">
        <v>480.04058556874475</v>
      </c>
      <c r="AF29">
        <f t="shared" si="10"/>
        <v>1000</v>
      </c>
      <c r="AH29" s="6">
        <f t="shared" si="11"/>
        <v>29622.697841852812</v>
      </c>
      <c r="AI29" s="6">
        <f t="shared" si="12"/>
        <v>447464.87202545541</v>
      </c>
      <c r="AJ29" s="6">
        <f t="shared" si="13"/>
        <v>477087.56986730819</v>
      </c>
      <c r="AL29" s="6">
        <f t="shared" si="14"/>
        <v>2079837.657725021</v>
      </c>
      <c r="AN29" s="6">
        <f t="shared" si="15"/>
        <v>2556925.227592329</v>
      </c>
      <c r="AP29">
        <f t="shared" si="16"/>
        <v>251.7929316557489</v>
      </c>
      <c r="AQ29">
        <f t="shared" si="17"/>
        <v>123.05283980700024</v>
      </c>
      <c r="AR29">
        <f t="shared" si="18"/>
        <v>374.84577146274916</v>
      </c>
    </row>
    <row r="30" spans="1:44" x14ac:dyDescent="0.35">
      <c r="H30">
        <v>27</v>
      </c>
      <c r="I30" cm="1">
        <f t="array" ref="I30:K30">MMULT(I29:K29,$B$4:$D$6)</f>
        <v>200.13552905234039</v>
      </c>
      <c r="J30">
        <v>169.40588770009234</v>
      </c>
      <c r="K30">
        <v>630.45858324756671</v>
      </c>
      <c r="L30">
        <f t="shared" si="0"/>
        <v>1000</v>
      </c>
      <c r="N30" s="6">
        <f t="shared" si="1"/>
        <v>20013.552905234039</v>
      </c>
      <c r="O30" s="6">
        <f t="shared" si="2"/>
        <v>338811.77540018468</v>
      </c>
      <c r="P30" s="6">
        <f t="shared" si="3"/>
        <v>0</v>
      </c>
      <c r="Q30" s="6"/>
      <c r="R30" s="6">
        <f t="shared" si="4"/>
        <v>358825.32830541872</v>
      </c>
      <c r="S30" s="6"/>
      <c r="T30" s="6">
        <f t="shared" si="5"/>
        <v>92385.354188108322</v>
      </c>
      <c r="U30" s="6"/>
      <c r="V30" s="6">
        <f t="shared" si="6"/>
        <v>451210.68249352707</v>
      </c>
      <c r="W30" s="6"/>
      <c r="X30" s="6">
        <f t="shared" si="7"/>
        <v>170.11519969448932</v>
      </c>
      <c r="Y30" s="6">
        <f t="shared" si="8"/>
        <v>93.173238235050789</v>
      </c>
      <c r="Z30" s="6">
        <f t="shared" si="9"/>
        <v>263.28843792954012</v>
      </c>
      <c r="AA30" s="10"/>
      <c r="AB30">
        <v>27</v>
      </c>
      <c r="AC30" s="7" cm="1">
        <f t="array" ref="AC30:AE30">MMULT(AC29:AE29,$B$19:$D$21)</f>
        <v>282.15619694364801</v>
      </c>
      <c r="AD30" s="7">
        <v>218.80158244851427</v>
      </c>
      <c r="AE30" s="7">
        <v>499.04222060783826</v>
      </c>
      <c r="AF30">
        <f t="shared" si="10"/>
        <v>1000</v>
      </c>
      <c r="AH30" s="6">
        <f t="shared" si="11"/>
        <v>28215.619694364803</v>
      </c>
      <c r="AI30" s="6">
        <f t="shared" si="12"/>
        <v>437603.16489702853</v>
      </c>
      <c r="AJ30" s="6">
        <f t="shared" si="13"/>
        <v>465818.78459139331</v>
      </c>
      <c r="AL30" s="6">
        <f t="shared" si="14"/>
        <v>2003831.117568647</v>
      </c>
      <c r="AN30" s="6">
        <f t="shared" si="15"/>
        <v>2469649.9021600401</v>
      </c>
      <c r="AP30">
        <f t="shared" si="16"/>
        <v>239.83276740210081</v>
      </c>
      <c r="AQ30">
        <f t="shared" si="17"/>
        <v>120.34087034668286</v>
      </c>
      <c r="AR30">
        <f t="shared" si="18"/>
        <v>360.17363774878368</v>
      </c>
    </row>
    <row r="31" spans="1:44" x14ac:dyDescent="0.35">
      <c r="A31" s="1" t="s">
        <v>17</v>
      </c>
      <c r="H31">
        <v>28</v>
      </c>
      <c r="I31" cm="1">
        <f t="array" ref="I31:K31">MMULT(I30:K30,$B$4:$D$6)</f>
        <v>188.12739730919995</v>
      </c>
      <c r="J31">
        <v>162.47207538270013</v>
      </c>
      <c r="K31">
        <v>649.4005273080993</v>
      </c>
      <c r="L31">
        <f t="shared" si="0"/>
        <v>1000</v>
      </c>
      <c r="N31" s="6">
        <f t="shared" si="1"/>
        <v>18812.739730919995</v>
      </c>
      <c r="O31" s="6">
        <f t="shared" si="2"/>
        <v>324944.15076540026</v>
      </c>
      <c r="P31" s="6">
        <f t="shared" si="3"/>
        <v>0</v>
      </c>
      <c r="Q31" s="6"/>
      <c r="R31" s="6">
        <f t="shared" si="4"/>
        <v>343756.89049632027</v>
      </c>
      <c r="S31" s="6"/>
      <c r="T31" s="6">
        <f t="shared" si="5"/>
        <v>87649.86817297517</v>
      </c>
      <c r="U31" s="6"/>
      <c r="V31" s="6">
        <f t="shared" si="6"/>
        <v>431406.75866929546</v>
      </c>
      <c r="W31" s="6"/>
      <c r="X31" s="6">
        <f t="shared" si="7"/>
        <v>159.90828771281994</v>
      </c>
      <c r="Y31" s="6">
        <f t="shared" si="8"/>
        <v>89.359641460485079</v>
      </c>
      <c r="Z31" s="6">
        <f t="shared" si="9"/>
        <v>249.26792917330502</v>
      </c>
      <c r="AA31" s="10"/>
      <c r="AB31">
        <v>28</v>
      </c>
      <c r="AC31" s="7" cm="1">
        <f t="array" ref="AC31:AE31">MMULT(AC30:AE30,$B$19:$D$21)</f>
        <v>268.75377758882473</v>
      </c>
      <c r="AD31" s="7">
        <v>213.67771164262163</v>
      </c>
      <c r="AE31" s="7">
        <v>517.56851076855423</v>
      </c>
      <c r="AF31">
        <f t="shared" si="10"/>
        <v>1000</v>
      </c>
      <c r="AH31" s="6">
        <f t="shared" si="11"/>
        <v>26875.377758882474</v>
      </c>
      <c r="AI31" s="6">
        <f t="shared" si="12"/>
        <v>427355.42328524328</v>
      </c>
      <c r="AJ31" s="6">
        <f t="shared" si="13"/>
        <v>454230.80104412575</v>
      </c>
      <c r="AL31" s="6">
        <f t="shared" si="14"/>
        <v>1929725.9569257831</v>
      </c>
      <c r="AN31" s="6">
        <f t="shared" si="15"/>
        <v>2383956.7579699089</v>
      </c>
      <c r="AP31">
        <f t="shared" si="16"/>
        <v>228.44071095050103</v>
      </c>
      <c r="AQ31">
        <f t="shared" si="17"/>
        <v>117.52274140344191</v>
      </c>
      <c r="AR31">
        <f t="shared" si="18"/>
        <v>345.96345235394296</v>
      </c>
    </row>
    <row r="32" spans="1:44" x14ac:dyDescent="0.35">
      <c r="A32" t="s">
        <v>18</v>
      </c>
      <c r="B32" s="5">
        <v>250</v>
      </c>
      <c r="H32">
        <v>29</v>
      </c>
      <c r="I32" cm="1">
        <f t="array" ref="I32:K32">MMULT(I31:K31,$B$4:$D$6)</f>
        <v>176.83975347064793</v>
      </c>
      <c r="J32">
        <v>155.63123770989012</v>
      </c>
      <c r="K32">
        <v>667.5290088194613</v>
      </c>
      <c r="L32">
        <f t="shared" si="0"/>
        <v>1000</v>
      </c>
      <c r="N32" s="6">
        <f t="shared" si="1"/>
        <v>17683.975347064792</v>
      </c>
      <c r="O32" s="6">
        <f t="shared" si="2"/>
        <v>311262.47541978024</v>
      </c>
      <c r="P32" s="6">
        <f t="shared" si="3"/>
        <v>0</v>
      </c>
      <c r="Q32" s="6"/>
      <c r="R32" s="6">
        <f t="shared" si="4"/>
        <v>328946.45076684502</v>
      </c>
      <c r="S32" s="6"/>
      <c r="T32" s="6">
        <f t="shared" si="5"/>
        <v>83117.747795134681</v>
      </c>
      <c r="U32" s="6"/>
      <c r="V32" s="6">
        <f t="shared" si="6"/>
        <v>412064.19856197969</v>
      </c>
      <c r="W32" s="6"/>
      <c r="X32" s="6">
        <f t="shared" si="7"/>
        <v>150.31379045005073</v>
      </c>
      <c r="Y32" s="6">
        <f t="shared" si="8"/>
        <v>85.597180740439569</v>
      </c>
      <c r="Z32" s="6">
        <f t="shared" si="9"/>
        <v>235.9109711904903</v>
      </c>
      <c r="AA32" s="10"/>
      <c r="AB32">
        <v>29</v>
      </c>
      <c r="AC32" s="7" cm="1">
        <f t="array" ref="AC32:AE32">MMULT(AC31:AE31,$B$19:$D$21)</f>
        <v>255.98797315335557</v>
      </c>
      <c r="AD32" s="7">
        <v>208.40203437297799</v>
      </c>
      <c r="AE32" s="7">
        <v>535.60999247366703</v>
      </c>
      <c r="AF32">
        <f t="shared" si="10"/>
        <v>1000</v>
      </c>
      <c r="AH32" s="6">
        <f t="shared" si="11"/>
        <v>25598.797315335556</v>
      </c>
      <c r="AI32" s="6">
        <f t="shared" si="12"/>
        <v>416804.068745956</v>
      </c>
      <c r="AJ32" s="6">
        <f t="shared" si="13"/>
        <v>442402.86606129154</v>
      </c>
      <c r="AL32" s="6">
        <f t="shared" si="14"/>
        <v>1857560.0301053319</v>
      </c>
      <c r="AN32" s="6">
        <f t="shared" si="15"/>
        <v>2299962.8961666236</v>
      </c>
      <c r="AP32">
        <f t="shared" si="16"/>
        <v>217.58977718035223</v>
      </c>
      <c r="AQ32">
        <f t="shared" si="17"/>
        <v>114.62111890513791</v>
      </c>
      <c r="AR32">
        <f t="shared" si="18"/>
        <v>332.21089608549016</v>
      </c>
    </row>
    <row r="33" spans="1:44" x14ac:dyDescent="0.35">
      <c r="A33" t="s">
        <v>19</v>
      </c>
      <c r="B33" s="5">
        <v>4000</v>
      </c>
      <c r="H33">
        <v>30</v>
      </c>
      <c r="I33" cm="1">
        <f t="array" ref="I33:K33">MMULT(I32:K32,$B$4:$D$6)</f>
        <v>166.22936826240905</v>
      </c>
      <c r="J33">
        <v>148.91010161243352</v>
      </c>
      <c r="K33">
        <v>684.86053012515674</v>
      </c>
      <c r="L33">
        <f t="shared" si="0"/>
        <v>1000</v>
      </c>
      <c r="N33" s="6">
        <f t="shared" si="1"/>
        <v>16622.936826240904</v>
      </c>
      <c r="O33" s="6">
        <f t="shared" si="2"/>
        <v>297820.20322486706</v>
      </c>
      <c r="P33" s="6">
        <f t="shared" si="3"/>
        <v>0</v>
      </c>
      <c r="Q33" s="6"/>
      <c r="R33" s="6">
        <f t="shared" si="4"/>
        <v>314443.14005110797</v>
      </c>
      <c r="S33" s="6"/>
      <c r="T33" s="6">
        <f t="shared" si="5"/>
        <v>78784.867468710814</v>
      </c>
      <c r="U33" s="6"/>
      <c r="V33" s="6">
        <f t="shared" si="6"/>
        <v>393228.00751981878</v>
      </c>
      <c r="W33" s="6"/>
      <c r="X33" s="6">
        <f t="shared" si="7"/>
        <v>141.2949630230477</v>
      </c>
      <c r="Y33" s="6">
        <f t="shared" si="8"/>
        <v>81.900555886838447</v>
      </c>
      <c r="Z33" s="6">
        <f t="shared" si="9"/>
        <v>223.19551890988615</v>
      </c>
      <c r="AA33" s="10"/>
      <c r="AB33">
        <v>30</v>
      </c>
      <c r="AC33" s="7" cm="1">
        <f t="array" ref="AC33:AE33">MMULT(AC32:AE32,$B$19:$D$21)</f>
        <v>243.82854442857118</v>
      </c>
      <c r="AD33" s="7">
        <v>203.01140072113887</v>
      </c>
      <c r="AE33" s="7">
        <v>553.16005485029052</v>
      </c>
      <c r="AF33">
        <f t="shared" si="10"/>
        <v>1000</v>
      </c>
      <c r="AH33" s="6">
        <f t="shared" si="11"/>
        <v>24382.854442857119</v>
      </c>
      <c r="AI33" s="6">
        <f t="shared" si="12"/>
        <v>406022.80144227773</v>
      </c>
      <c r="AJ33" s="6">
        <f t="shared" si="13"/>
        <v>430405.65588513482</v>
      </c>
      <c r="AL33" s="6">
        <f t="shared" si="14"/>
        <v>1787359.7805988379</v>
      </c>
      <c r="AN33" s="6">
        <f t="shared" si="15"/>
        <v>2217765.4364839727</v>
      </c>
      <c r="AP33">
        <f t="shared" si="16"/>
        <v>207.2542627642855</v>
      </c>
      <c r="AQ33">
        <f t="shared" si="17"/>
        <v>111.65627039662638</v>
      </c>
      <c r="AR33">
        <f t="shared" si="18"/>
        <v>318.91053316091188</v>
      </c>
    </row>
    <row r="34" spans="1:44" x14ac:dyDescent="0.35">
      <c r="H34">
        <v>31</v>
      </c>
      <c r="I34" cm="1">
        <f t="array" ref="I34:K34">MMULT(I33:K33,$B$4:$D$6)</f>
        <v>156.25560616666451</v>
      </c>
      <c r="J34">
        <v>142.33055986431063</v>
      </c>
      <c r="K34">
        <v>701.41383396902415</v>
      </c>
      <c r="L34">
        <f t="shared" si="0"/>
        <v>1000</v>
      </c>
      <c r="N34" s="6">
        <f t="shared" si="1"/>
        <v>15625.560616666451</v>
      </c>
      <c r="O34" s="6">
        <f t="shared" si="2"/>
        <v>284661.11972862127</v>
      </c>
      <c r="P34" s="6">
        <f t="shared" si="3"/>
        <v>0</v>
      </c>
      <c r="Q34" s="6"/>
      <c r="R34" s="6">
        <f t="shared" si="4"/>
        <v>300286.68034528772</v>
      </c>
      <c r="S34" s="6"/>
      <c r="T34" s="6">
        <f t="shared" si="5"/>
        <v>74646.541507743968</v>
      </c>
      <c r="U34" s="6"/>
      <c r="V34" s="6">
        <f t="shared" si="6"/>
        <v>374933.22185303166</v>
      </c>
      <c r="W34" s="6"/>
      <c r="X34" s="6">
        <f t="shared" si="7"/>
        <v>132.81726524166481</v>
      </c>
      <c r="Y34" s="6">
        <f t="shared" si="8"/>
        <v>78.281807925370856</v>
      </c>
      <c r="Z34" s="6">
        <f t="shared" si="9"/>
        <v>211.09907316703567</v>
      </c>
      <c r="AA34" s="10"/>
      <c r="AB34">
        <v>31</v>
      </c>
      <c r="AC34" s="7" cm="1">
        <f t="array" ref="AC34:AE34">MMULT(AC33:AE33,$B$19:$D$21)</f>
        <v>232.24668856821404</v>
      </c>
      <c r="AD34" s="7">
        <v>197.53868744419631</v>
      </c>
      <c r="AE34" s="7">
        <v>570.21462398759024</v>
      </c>
      <c r="AF34">
        <f t="shared" si="10"/>
        <v>1000</v>
      </c>
      <c r="AH34" s="6">
        <f t="shared" si="11"/>
        <v>23224.668856821405</v>
      </c>
      <c r="AI34" s="6">
        <f t="shared" si="12"/>
        <v>395077.37488839263</v>
      </c>
      <c r="AJ34" s="6">
        <f t="shared" si="13"/>
        <v>418302.04374521406</v>
      </c>
      <c r="AL34" s="6">
        <f t="shared" si="14"/>
        <v>1719141.504049639</v>
      </c>
      <c r="AN34" s="6">
        <f t="shared" si="15"/>
        <v>2137443.5477948529</v>
      </c>
      <c r="AP34">
        <f t="shared" si="16"/>
        <v>197.40968528298194</v>
      </c>
      <c r="AQ34">
        <f t="shared" si="17"/>
        <v>108.64627809430799</v>
      </c>
      <c r="AR34">
        <f t="shared" si="18"/>
        <v>306.05596337728991</v>
      </c>
    </row>
    <row r="35" spans="1:44" x14ac:dyDescent="0.35">
      <c r="A35" s="4" t="s">
        <v>20</v>
      </c>
      <c r="B35" s="4">
        <v>1000</v>
      </c>
      <c r="H35">
        <v>32</v>
      </c>
      <c r="I35" cm="1">
        <f t="array" ref="I35:K35">MMULT(I34:K34,$B$4:$D$6)</f>
        <v>146.88026979666463</v>
      </c>
      <c r="J35">
        <v>135.91028418621281</v>
      </c>
      <c r="K35">
        <v>717.20944601712188</v>
      </c>
      <c r="L35">
        <f t="shared" si="0"/>
        <v>1000</v>
      </c>
      <c r="N35" s="6">
        <f t="shared" si="1"/>
        <v>14688.026979666463</v>
      </c>
      <c r="O35" s="6">
        <f t="shared" si="2"/>
        <v>271820.56837242562</v>
      </c>
      <c r="P35" s="6">
        <f t="shared" si="3"/>
        <v>0</v>
      </c>
      <c r="Q35" s="6"/>
      <c r="R35" s="6">
        <f t="shared" si="4"/>
        <v>286508.59535209206</v>
      </c>
      <c r="S35" s="6"/>
      <c r="T35" s="6">
        <f t="shared" si="5"/>
        <v>70697.638495719526</v>
      </c>
      <c r="U35" s="6"/>
      <c r="V35" s="6">
        <f t="shared" si="6"/>
        <v>357206.23384781159</v>
      </c>
      <c r="W35" s="6"/>
      <c r="X35" s="6">
        <f t="shared" si="7"/>
        <v>124.84822932716493</v>
      </c>
      <c r="Y35" s="6">
        <f t="shared" si="8"/>
        <v>74.750656302417056</v>
      </c>
      <c r="Z35" s="6">
        <f t="shared" si="9"/>
        <v>199.59888562958199</v>
      </c>
      <c r="AA35" s="10"/>
      <c r="AB35">
        <v>32</v>
      </c>
      <c r="AC35" s="7" cm="1">
        <f t="array" ref="AC35:AE35">MMULT(AC34:AE34,$B$19:$D$21)</f>
        <v>221.21497086122389</v>
      </c>
      <c r="AD35" s="7">
        <v>192.01315342861017</v>
      </c>
      <c r="AE35" s="7">
        <v>586.77187571016657</v>
      </c>
      <c r="AF35">
        <f t="shared" si="10"/>
        <v>1000</v>
      </c>
      <c r="AH35" s="6">
        <f t="shared" si="11"/>
        <v>22121.497086122388</v>
      </c>
      <c r="AI35" s="6">
        <f t="shared" si="12"/>
        <v>384026.30685722036</v>
      </c>
      <c r="AJ35" s="6">
        <f t="shared" si="13"/>
        <v>406147.80394334276</v>
      </c>
      <c r="AL35" s="6">
        <f t="shared" si="14"/>
        <v>1652912.4971593337</v>
      </c>
      <c r="AN35" s="6">
        <f t="shared" si="15"/>
        <v>2059060.3011026764</v>
      </c>
      <c r="AP35">
        <f t="shared" si="16"/>
        <v>188.03272523204029</v>
      </c>
      <c r="AQ35">
        <f t="shared" si="17"/>
        <v>105.60723438573559</v>
      </c>
      <c r="AR35">
        <f t="shared" si="18"/>
        <v>293.6399596177759</v>
      </c>
    </row>
    <row r="36" spans="1:44" x14ac:dyDescent="0.35">
      <c r="H36">
        <v>33</v>
      </c>
      <c r="I36" cm="1">
        <f t="array" ref="I36:K36">MMULT(I35:K35,$B$4:$D$6)</f>
        <v>138.06745360886475</v>
      </c>
      <c r="J36">
        <v>129.66326925742476</v>
      </c>
      <c r="K36">
        <v>732.26927713370981</v>
      </c>
      <c r="L36">
        <f t="shared" si="0"/>
        <v>1000</v>
      </c>
      <c r="N36" s="6">
        <f t="shared" si="1"/>
        <v>13806.745360886474</v>
      </c>
      <c r="O36" s="6">
        <f t="shared" si="2"/>
        <v>259326.53851484953</v>
      </c>
      <c r="P36" s="6">
        <f t="shared" si="3"/>
        <v>0</v>
      </c>
      <c r="Q36" s="6"/>
      <c r="R36" s="6">
        <f t="shared" si="4"/>
        <v>273133.283875736</v>
      </c>
      <c r="S36" s="6"/>
      <c r="T36" s="6">
        <f t="shared" si="5"/>
        <v>66932.680716572548</v>
      </c>
      <c r="U36" s="6"/>
      <c r="V36" s="6">
        <f t="shared" si="6"/>
        <v>340065.96459230856</v>
      </c>
      <c r="W36" s="6"/>
      <c r="X36" s="6">
        <f t="shared" si="7"/>
        <v>117.35733556753503</v>
      </c>
      <c r="Y36" s="6">
        <f t="shared" si="8"/>
        <v>71.314798091583626</v>
      </c>
      <c r="Z36" s="6">
        <f t="shared" si="9"/>
        <v>188.67213365911866</v>
      </c>
      <c r="AA36" s="10"/>
      <c r="AB36">
        <v>33</v>
      </c>
      <c r="AC36" s="7" cm="1">
        <f t="array" ref="AC36:AE36">MMULT(AC35:AE35,$B$19:$D$21)</f>
        <v>210.70725974531575</v>
      </c>
      <c r="AD36" s="7">
        <v>186.46076575591337</v>
      </c>
      <c r="AE36" s="7">
        <v>602.8319744987715</v>
      </c>
      <c r="AF36">
        <f t="shared" si="10"/>
        <v>1000</v>
      </c>
      <c r="AH36" s="6">
        <f t="shared" si="11"/>
        <v>21070.725974531575</v>
      </c>
      <c r="AI36" s="6">
        <f t="shared" si="12"/>
        <v>372921.53151182673</v>
      </c>
      <c r="AJ36" s="6">
        <f t="shared" si="13"/>
        <v>393992.25748635828</v>
      </c>
      <c r="AL36" s="6">
        <f t="shared" si="14"/>
        <v>1588672.1020049141</v>
      </c>
      <c r="AN36" s="6">
        <f t="shared" si="15"/>
        <v>1982664.3594912724</v>
      </c>
      <c r="AP36">
        <f t="shared" si="16"/>
        <v>179.1011707835184</v>
      </c>
      <c r="AQ36">
        <f t="shared" si="17"/>
        <v>102.55342116575237</v>
      </c>
      <c r="AR36">
        <f t="shared" si="18"/>
        <v>281.65459194927075</v>
      </c>
    </row>
    <row r="37" spans="1:44" x14ac:dyDescent="0.35">
      <c r="H37">
        <v>34</v>
      </c>
      <c r="I37" cm="1">
        <f t="array" ref="I37:K37">MMULT(I36:K36,$B$4:$D$6)</f>
        <v>129.78340639233286</v>
      </c>
      <c r="J37">
        <v>123.60031501212552</v>
      </c>
      <c r="K37">
        <v>746.61627859554096</v>
      </c>
      <c r="L37">
        <f t="shared" si="0"/>
        <v>1000</v>
      </c>
      <c r="N37" s="6">
        <f t="shared" si="1"/>
        <v>12978.340639233287</v>
      </c>
      <c r="O37" s="6">
        <f t="shared" si="2"/>
        <v>247200.63002425103</v>
      </c>
      <c r="P37" s="6">
        <f t="shared" si="3"/>
        <v>0</v>
      </c>
      <c r="Q37" s="6"/>
      <c r="R37" s="6">
        <f t="shared" si="4"/>
        <v>260178.97066348433</v>
      </c>
      <c r="S37" s="6"/>
      <c r="T37" s="6">
        <f t="shared" si="5"/>
        <v>63345.930351114759</v>
      </c>
      <c r="U37" s="6"/>
      <c r="V37" s="6">
        <f t="shared" si="6"/>
        <v>323524.90101459908</v>
      </c>
      <c r="W37" s="6"/>
      <c r="X37" s="6">
        <f t="shared" si="7"/>
        <v>110.31589543348294</v>
      </c>
      <c r="Y37" s="6">
        <f t="shared" si="8"/>
        <v>67.980173256669048</v>
      </c>
      <c r="Z37" s="6">
        <f t="shared" si="9"/>
        <v>178.29606869015197</v>
      </c>
      <c r="AA37" s="10"/>
      <c r="AB37">
        <v>34</v>
      </c>
      <c r="AC37" s="7" cm="1">
        <f t="array" ref="AC37:AE37">MMULT(AC36:AE36,$B$19:$D$21)</f>
        <v>200.69866490741325</v>
      </c>
      <c r="AD37" s="7">
        <v>180.90449871403251</v>
      </c>
      <c r="AE37" s="7">
        <v>618.39683637855489</v>
      </c>
      <c r="AF37">
        <f t="shared" si="10"/>
        <v>1000</v>
      </c>
      <c r="AH37" s="6">
        <f t="shared" si="11"/>
        <v>20069.866490741326</v>
      </c>
      <c r="AI37" s="6">
        <f t="shared" si="12"/>
        <v>361808.99742806505</v>
      </c>
      <c r="AJ37" s="6">
        <f t="shared" si="13"/>
        <v>381878.86391880637</v>
      </c>
      <c r="AL37" s="6">
        <f t="shared" si="14"/>
        <v>1526412.6544857805</v>
      </c>
      <c r="AN37" s="6">
        <f t="shared" si="15"/>
        <v>1908291.5184045869</v>
      </c>
      <c r="AP37">
        <f t="shared" si="16"/>
        <v>170.59386517130125</v>
      </c>
      <c r="AQ37">
        <f t="shared" si="17"/>
        <v>99.497474292717897</v>
      </c>
      <c r="AR37">
        <f t="shared" si="18"/>
        <v>270.09133946401914</v>
      </c>
    </row>
    <row r="38" spans="1:44" x14ac:dyDescent="0.35">
      <c r="A38" t="s">
        <v>21</v>
      </c>
      <c r="H38">
        <v>35</v>
      </c>
      <c r="I38" cm="1">
        <f t="array" ref="I38:K38">MMULT(I37:K37,$B$4:$D$6)</f>
        <v>121.99640200879288</v>
      </c>
      <c r="J38">
        <v>117.72945383052962</v>
      </c>
      <c r="K38">
        <v>760.27414416067688</v>
      </c>
      <c r="L38">
        <f t="shared" si="0"/>
        <v>1000</v>
      </c>
      <c r="N38" s="6">
        <f t="shared" si="1"/>
        <v>12199.640200879288</v>
      </c>
      <c r="O38" s="6">
        <f t="shared" si="2"/>
        <v>235458.90766105923</v>
      </c>
      <c r="P38" s="6">
        <f t="shared" si="3"/>
        <v>0</v>
      </c>
      <c r="Q38" s="6"/>
      <c r="R38" s="6">
        <f t="shared" si="4"/>
        <v>247658.54786193851</v>
      </c>
      <c r="S38" s="6"/>
      <c r="T38" s="6">
        <f t="shared" si="5"/>
        <v>59931.463959830777</v>
      </c>
      <c r="U38" s="6"/>
      <c r="V38" s="6">
        <f t="shared" si="6"/>
        <v>307590.01182176929</v>
      </c>
      <c r="W38" s="6"/>
      <c r="X38" s="6">
        <f t="shared" si="7"/>
        <v>103.69694170747395</v>
      </c>
      <c r="Y38" s="6">
        <f t="shared" si="8"/>
        <v>64.751199606791303</v>
      </c>
      <c r="Z38" s="6">
        <f t="shared" si="9"/>
        <v>168.44814131426526</v>
      </c>
      <c r="AA38" s="10"/>
      <c r="AB38">
        <v>35</v>
      </c>
      <c r="AC38" s="7" cm="1">
        <f t="array" ref="AC38:AE38">MMULT(AC37:AE37,$B$19:$D$21)</f>
        <v>191.16547832431112</v>
      </c>
      <c r="AD38" s="7">
        <v>175.3646079067766</v>
      </c>
      <c r="AE38" s="7">
        <v>633.46991376891287</v>
      </c>
      <c r="AF38">
        <f t="shared" si="10"/>
        <v>1000</v>
      </c>
      <c r="AH38" s="6">
        <f t="shared" si="11"/>
        <v>19116.547832431112</v>
      </c>
      <c r="AI38" s="6">
        <f t="shared" si="12"/>
        <v>350729.21581355319</v>
      </c>
      <c r="AJ38" s="6">
        <f t="shared" si="13"/>
        <v>369845.76364598429</v>
      </c>
      <c r="AL38" s="6">
        <f t="shared" si="14"/>
        <v>1466120.3449243484</v>
      </c>
      <c r="AN38" s="6">
        <f t="shared" si="15"/>
        <v>1835966.1085703326</v>
      </c>
      <c r="AP38">
        <f t="shared" si="16"/>
        <v>162.49065657566445</v>
      </c>
      <c r="AQ38">
        <f t="shared" si="17"/>
        <v>96.450534348727132</v>
      </c>
      <c r="AR38">
        <f t="shared" si="18"/>
        <v>258.94119092439155</v>
      </c>
    </row>
    <row r="39" spans="1:44" x14ac:dyDescent="0.35">
      <c r="A39" t="s">
        <v>40</v>
      </c>
      <c r="B39" s="6">
        <v>30000</v>
      </c>
      <c r="H39">
        <v>36</v>
      </c>
      <c r="I39" cm="1">
        <f t="array" ref="I39:K39">MMULT(I38:K38,$B$4:$D$6)</f>
        <v>114.6766178882653</v>
      </c>
      <c r="J39">
        <v>112.05632854791631</v>
      </c>
      <c r="K39">
        <v>773.26705356381774</v>
      </c>
      <c r="L39">
        <f t="shared" si="0"/>
        <v>1000</v>
      </c>
      <c r="N39" s="6">
        <f t="shared" si="1"/>
        <v>11467.66178882653</v>
      </c>
      <c r="O39" s="6">
        <f t="shared" si="2"/>
        <v>224112.6570958326</v>
      </c>
      <c r="P39" s="6">
        <f t="shared" si="3"/>
        <v>0</v>
      </c>
      <c r="Q39" s="6"/>
      <c r="R39" s="6">
        <f t="shared" si="4"/>
        <v>235580.31888465912</v>
      </c>
      <c r="S39" s="6"/>
      <c r="T39" s="6">
        <f t="shared" si="5"/>
        <v>56683.236609045562</v>
      </c>
      <c r="U39" s="6"/>
      <c r="V39" s="6">
        <f t="shared" si="6"/>
        <v>292263.55549370468</v>
      </c>
      <c r="W39" s="6"/>
      <c r="X39" s="6">
        <f t="shared" si="7"/>
        <v>97.475125205025506</v>
      </c>
      <c r="Y39" s="6">
        <f t="shared" si="8"/>
        <v>61.630980701353977</v>
      </c>
      <c r="Z39" s="6">
        <f t="shared" si="9"/>
        <v>159.10610590637947</v>
      </c>
      <c r="AA39" s="10"/>
      <c r="AB39">
        <v>36</v>
      </c>
      <c r="AC39" s="7" cm="1">
        <f t="array" ref="AC39:AE39">MMULT(AC38:AE38,$B$19:$D$21)</f>
        <v>182.08511810390635</v>
      </c>
      <c r="AD39" s="7">
        <v>169.85888144674078</v>
      </c>
      <c r="AE39" s="7">
        <v>648.05600044935341</v>
      </c>
      <c r="AF39">
        <f t="shared" si="10"/>
        <v>1000</v>
      </c>
      <c r="AH39" s="6">
        <f t="shared" si="11"/>
        <v>18208.511810390635</v>
      </c>
      <c r="AI39" s="6">
        <f t="shared" si="12"/>
        <v>339717.76289348159</v>
      </c>
      <c r="AJ39" s="6">
        <f t="shared" si="13"/>
        <v>357926.27470387222</v>
      </c>
      <c r="AL39" s="6">
        <f t="shared" si="14"/>
        <v>1407775.9982025863</v>
      </c>
      <c r="AN39" s="6">
        <f t="shared" si="15"/>
        <v>1765702.2729064585</v>
      </c>
      <c r="AP39">
        <f t="shared" si="16"/>
        <v>154.7723503883204</v>
      </c>
      <c r="AQ39">
        <f t="shared" si="17"/>
        <v>93.422384795707444</v>
      </c>
      <c r="AR39">
        <f t="shared" si="18"/>
        <v>248.19473518402785</v>
      </c>
    </row>
    <row r="40" spans="1:44" x14ac:dyDescent="0.35">
      <c r="AA40" s="9"/>
    </row>
    <row r="41" spans="1:44" x14ac:dyDescent="0.35">
      <c r="C41" t="s">
        <v>27</v>
      </c>
      <c r="D41" t="s">
        <v>36</v>
      </c>
      <c r="E41" t="s">
        <v>37</v>
      </c>
      <c r="V41" s="6" cm="1">
        <f t="array" ref="V41">SUM(V4:V39/B35)</f>
        <v>19535.195973412381</v>
      </c>
      <c r="W41" s="6"/>
      <c r="X41" s="6"/>
      <c r="Y41" s="6"/>
      <c r="Z41" s="8" cm="1">
        <f t="array" ref="Z41">SUM(Z4:Z39/I4)</f>
        <v>16.14260971348785</v>
      </c>
      <c r="AA41" s="9"/>
      <c r="AN41" s="6" cm="1">
        <f t="array" ref="AN41">SUM(AN4:AN39/B35)</f>
        <v>113877.59465909321</v>
      </c>
      <c r="AR41" s="11" cm="1">
        <f t="array" ref="AR41">SUM(AR4:AR39/B35)</f>
        <v>18.689917638985847</v>
      </c>
    </row>
    <row r="42" spans="1:44" x14ac:dyDescent="0.35">
      <c r="B42" t="s">
        <v>33</v>
      </c>
      <c r="C42" s="6">
        <v>19535.195973412381</v>
      </c>
      <c r="D42" s="7">
        <v>16.14260971348785</v>
      </c>
      <c r="E42" s="6">
        <f>(D42*B39)-C42</f>
        <v>464743.09543122316</v>
      </c>
      <c r="AA42" s="9"/>
    </row>
    <row r="43" spans="1:44" x14ac:dyDescent="0.35">
      <c r="B43" t="s">
        <v>34</v>
      </c>
      <c r="C43" s="6">
        <v>113877.59465909321</v>
      </c>
      <c r="D43" s="7">
        <v>18.689917638985847</v>
      </c>
      <c r="E43" s="6">
        <f>(D43*B39)-C43</f>
        <v>446819.93451048224</v>
      </c>
      <c r="AA43" s="9"/>
    </row>
    <row r="44" spans="1:44" x14ac:dyDescent="0.35">
      <c r="B44" t="s">
        <v>35</v>
      </c>
      <c r="C44" s="6">
        <f>C43-C42</f>
        <v>94342.398685680833</v>
      </c>
      <c r="D44" s="7">
        <f>D43-D42</f>
        <v>2.5473079254979965</v>
      </c>
      <c r="E44" s="6">
        <f>E43-E42</f>
        <v>-17923.16092074092</v>
      </c>
      <c r="AA44" s="9"/>
    </row>
    <row r="47" spans="1:44" x14ac:dyDescent="0.35">
      <c r="B47" t="s">
        <v>38</v>
      </c>
      <c r="C47" s="6">
        <f>C44/D44</f>
        <v>37036.118696657759</v>
      </c>
    </row>
    <row r="48" spans="1:44" x14ac:dyDescent="0.35">
      <c r="C48" t="s">
        <v>39</v>
      </c>
    </row>
    <row r="50" spans="2:2" x14ac:dyDescent="0.35">
      <c r="B50" t="s">
        <v>41</v>
      </c>
    </row>
    <row r="51" spans="2:2" x14ac:dyDescent="0.35">
      <c r="B51" t="s">
        <v>42</v>
      </c>
    </row>
    <row r="52" spans="2:2" x14ac:dyDescent="0.35">
      <c r="B52" t="s">
        <v>43</v>
      </c>
    </row>
    <row r="55" spans="2:2" x14ac:dyDescent="0.35">
      <c r="B55" s="6"/>
    </row>
  </sheetData>
  <mergeCells count="3">
    <mergeCell ref="A2:D2"/>
    <mergeCell ref="A17:D17"/>
    <mergeCell ref="I2:J2"/>
  </mergeCells>
  <conditionalFormatting sqref="L1:L1048576">
    <cfRule type="cellIs" dxfId="0" priority="1" operator="equal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</cp:lastModifiedBy>
  <dcterms:created xsi:type="dcterms:W3CDTF">2026-03-23T10:49:57Z</dcterms:created>
  <dcterms:modified xsi:type="dcterms:W3CDTF">2026-04-15T11:41:52Z</dcterms:modified>
</cp:coreProperties>
</file>